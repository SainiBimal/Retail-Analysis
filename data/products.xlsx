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mentix\Retail\data\Retail Sales Data\archive\clean data\"/>
    </mc:Choice>
  </mc:AlternateContent>
  <bookViews>
    <workbookView xWindow="0" yWindow="0" windowWidth="19200" windowHeight="8430" activeTab="1"/>
  </bookViews>
  <sheets>
    <sheet name="products" sheetId="1" r:id="rId1"/>
    <sheet name="Cleaning" sheetId="2" r:id="rId2"/>
    <sheet name="Final" sheetId="3" r:id="rId3"/>
  </sheets>
  <definedNames>
    <definedName name="_xlnm._FilterDatabase" localSheetId="1" hidden="1">Cleaning!$H$1:$J$322</definedName>
  </definedNames>
  <calcPr calcId="152511"/>
</workbook>
</file>

<file path=xl/calcChain.xml><?xml version="1.0" encoding="utf-8"?>
<calcChain xmlns="http://schemas.openxmlformats.org/spreadsheetml/2006/main">
  <c r="I322" i="2" l="1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J96" i="2" s="1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J13" i="2" s="1"/>
  <c r="I12" i="2"/>
  <c r="I11" i="2"/>
  <c r="I10" i="2"/>
  <c r="I9" i="2"/>
  <c r="I8" i="2"/>
  <c r="I7" i="2"/>
  <c r="I6" i="2"/>
  <c r="I5" i="2"/>
  <c r="I4" i="2"/>
  <c r="I3" i="2"/>
  <c r="I2" i="2"/>
  <c r="H7" i="2"/>
  <c r="H6" i="2"/>
  <c r="H5" i="2"/>
  <c r="H4" i="2"/>
  <c r="H3" i="2"/>
  <c r="H2" i="2"/>
  <c r="J23" i="2" l="1"/>
  <c r="J83" i="2"/>
  <c r="J155" i="2"/>
  <c r="J215" i="2"/>
  <c r="J263" i="2"/>
  <c r="J311" i="2"/>
  <c r="J48" i="2"/>
  <c r="J84" i="2"/>
  <c r="J168" i="2"/>
  <c r="J228" i="2"/>
  <c r="J264" i="2"/>
  <c r="J25" i="2"/>
  <c r="J49" i="2"/>
  <c r="J61" i="2"/>
  <c r="J73" i="2"/>
  <c r="J85" i="2"/>
  <c r="J97" i="2"/>
  <c r="J109" i="2"/>
  <c r="J121" i="2"/>
  <c r="J133" i="2"/>
  <c r="J145" i="2"/>
  <c r="J157" i="2"/>
  <c r="J169" i="2"/>
  <c r="J181" i="2"/>
  <c r="J193" i="2"/>
  <c r="J205" i="2"/>
  <c r="J217" i="2"/>
  <c r="J229" i="2"/>
  <c r="J241" i="2"/>
  <c r="J253" i="2"/>
  <c r="J265" i="2"/>
  <c r="J277" i="2"/>
  <c r="J289" i="2"/>
  <c r="J301" i="2"/>
  <c r="J313" i="2"/>
  <c r="J14" i="2"/>
  <c r="J62" i="2"/>
  <c r="J74" i="2"/>
  <c r="J86" i="2"/>
  <c r="J98" i="2"/>
  <c r="J110" i="2"/>
  <c r="J122" i="2"/>
  <c r="J134" i="2"/>
  <c r="J146" i="2"/>
  <c r="J158" i="2"/>
  <c r="J170" i="2"/>
  <c r="J182" i="2"/>
  <c r="J194" i="2"/>
  <c r="J206" i="2"/>
  <c r="J218" i="2"/>
  <c r="J230" i="2"/>
  <c r="J242" i="2"/>
  <c r="J254" i="2"/>
  <c r="J266" i="2"/>
  <c r="J278" i="2"/>
  <c r="J290" i="2"/>
  <c r="J302" i="2"/>
  <c r="J314" i="2"/>
  <c r="J3" i="2"/>
  <c r="J15" i="2"/>
  <c r="J27" i="2"/>
  <c r="J39" i="2"/>
  <c r="J51" i="2"/>
  <c r="J63" i="2"/>
  <c r="J75" i="2"/>
  <c r="J87" i="2"/>
  <c r="J99" i="2"/>
  <c r="J111" i="2"/>
  <c r="J123" i="2"/>
  <c r="J135" i="2"/>
  <c r="J147" i="2"/>
  <c r="J159" i="2"/>
  <c r="J171" i="2"/>
  <c r="J183" i="2"/>
  <c r="J195" i="2"/>
  <c r="J207" i="2"/>
  <c r="J219" i="2"/>
  <c r="J231" i="2"/>
  <c r="J243" i="2"/>
  <c r="J255" i="2"/>
  <c r="J267" i="2"/>
  <c r="J279" i="2"/>
  <c r="J291" i="2"/>
  <c r="J303" i="2"/>
  <c r="J315" i="2"/>
  <c r="J35" i="2"/>
  <c r="J95" i="2"/>
  <c r="J143" i="2"/>
  <c r="J203" i="2"/>
  <c r="J251" i="2"/>
  <c r="J299" i="2"/>
  <c r="J36" i="2"/>
  <c r="J108" i="2"/>
  <c r="J156" i="2"/>
  <c r="J216" i="2"/>
  <c r="J276" i="2"/>
  <c r="J38" i="2"/>
  <c r="J40" i="2"/>
  <c r="J100" i="2"/>
  <c r="J184" i="2"/>
  <c r="J256" i="2"/>
  <c r="J316" i="2"/>
  <c r="J41" i="2"/>
  <c r="J89" i="2"/>
  <c r="J113" i="2"/>
  <c r="J125" i="2"/>
  <c r="J137" i="2"/>
  <c r="J149" i="2"/>
  <c r="J161" i="2"/>
  <c r="J173" i="2"/>
  <c r="J185" i="2"/>
  <c r="J197" i="2"/>
  <c r="J209" i="2"/>
  <c r="J221" i="2"/>
  <c r="J233" i="2"/>
  <c r="J245" i="2"/>
  <c r="J257" i="2"/>
  <c r="J269" i="2"/>
  <c r="J281" i="2"/>
  <c r="J293" i="2"/>
  <c r="J305" i="2"/>
  <c r="J317" i="2"/>
  <c r="J144" i="2"/>
  <c r="J204" i="2"/>
  <c r="J288" i="2"/>
  <c r="J26" i="2"/>
  <c r="J52" i="2"/>
  <c r="J112" i="2"/>
  <c r="J160" i="2"/>
  <c r="J220" i="2"/>
  <c r="J280" i="2"/>
  <c r="J5" i="2"/>
  <c r="J65" i="2"/>
  <c r="J6" i="2"/>
  <c r="J42" i="2"/>
  <c r="J102" i="2"/>
  <c r="J138" i="2"/>
  <c r="J162" i="2"/>
  <c r="J174" i="2"/>
  <c r="J186" i="2"/>
  <c r="J198" i="2"/>
  <c r="J210" i="2"/>
  <c r="J222" i="2"/>
  <c r="J234" i="2"/>
  <c r="J246" i="2"/>
  <c r="J258" i="2"/>
  <c r="J270" i="2"/>
  <c r="J282" i="2"/>
  <c r="J294" i="2"/>
  <c r="J306" i="2"/>
  <c r="J318" i="2"/>
  <c r="J71" i="2"/>
  <c r="J131" i="2"/>
  <c r="J179" i="2"/>
  <c r="J239" i="2"/>
  <c r="J287" i="2"/>
  <c r="J12" i="2"/>
  <c r="J60" i="2"/>
  <c r="J120" i="2"/>
  <c r="J180" i="2"/>
  <c r="J240" i="2"/>
  <c r="J300" i="2"/>
  <c r="J37" i="2"/>
  <c r="J4" i="2"/>
  <c r="J64" i="2"/>
  <c r="J124" i="2"/>
  <c r="J172" i="2"/>
  <c r="J232" i="2"/>
  <c r="J304" i="2"/>
  <c r="J29" i="2"/>
  <c r="J77" i="2"/>
  <c r="J30" i="2"/>
  <c r="J66" i="2"/>
  <c r="J114" i="2"/>
  <c r="J7" i="2"/>
  <c r="J43" i="2"/>
  <c r="J79" i="2"/>
  <c r="J115" i="2"/>
  <c r="J151" i="2"/>
  <c r="J187" i="2"/>
  <c r="J223" i="2"/>
  <c r="J259" i="2"/>
  <c r="J319" i="2"/>
  <c r="J8" i="2"/>
  <c r="J20" i="2"/>
  <c r="J32" i="2"/>
  <c r="J44" i="2"/>
  <c r="J56" i="2"/>
  <c r="J68" i="2"/>
  <c r="J80" i="2"/>
  <c r="J92" i="2"/>
  <c r="J104" i="2"/>
  <c r="J116" i="2"/>
  <c r="J128" i="2"/>
  <c r="J140" i="2"/>
  <c r="J152" i="2"/>
  <c r="J164" i="2"/>
  <c r="J176" i="2"/>
  <c r="J188" i="2"/>
  <c r="J200" i="2"/>
  <c r="J212" i="2"/>
  <c r="J224" i="2"/>
  <c r="J236" i="2"/>
  <c r="J248" i="2"/>
  <c r="J260" i="2"/>
  <c r="J272" i="2"/>
  <c r="J284" i="2"/>
  <c r="J296" i="2"/>
  <c r="J308" i="2"/>
  <c r="J320" i="2"/>
  <c r="J47" i="2"/>
  <c r="J107" i="2"/>
  <c r="J191" i="2"/>
  <c r="J50" i="2"/>
  <c r="J28" i="2"/>
  <c r="J76" i="2"/>
  <c r="J136" i="2"/>
  <c r="J196" i="2"/>
  <c r="J244" i="2"/>
  <c r="J292" i="2"/>
  <c r="J17" i="2"/>
  <c r="J53" i="2"/>
  <c r="J101" i="2"/>
  <c r="J18" i="2"/>
  <c r="J54" i="2"/>
  <c r="J90" i="2"/>
  <c r="J150" i="2"/>
  <c r="J19" i="2"/>
  <c r="J55" i="2"/>
  <c r="J91" i="2"/>
  <c r="J127" i="2"/>
  <c r="J163" i="2"/>
  <c r="J199" i="2"/>
  <c r="J235" i="2"/>
  <c r="J271" i="2"/>
  <c r="J295" i="2"/>
  <c r="J9" i="2"/>
  <c r="J21" i="2"/>
  <c r="J33" i="2"/>
  <c r="J45" i="2"/>
  <c r="J57" i="2"/>
  <c r="J69" i="2"/>
  <c r="J81" i="2"/>
  <c r="J93" i="2"/>
  <c r="J105" i="2"/>
  <c r="J117" i="2"/>
  <c r="J129" i="2"/>
  <c r="J141" i="2"/>
  <c r="J153" i="2"/>
  <c r="J165" i="2"/>
  <c r="J177" i="2"/>
  <c r="J189" i="2"/>
  <c r="J201" i="2"/>
  <c r="J213" i="2"/>
  <c r="J225" i="2"/>
  <c r="J237" i="2"/>
  <c r="J249" i="2"/>
  <c r="J261" i="2"/>
  <c r="J273" i="2"/>
  <c r="J285" i="2"/>
  <c r="J297" i="2"/>
  <c r="J309" i="2"/>
  <c r="J321" i="2"/>
  <c r="J11" i="2"/>
  <c r="J59" i="2"/>
  <c r="J119" i="2"/>
  <c r="J167" i="2"/>
  <c r="J227" i="2"/>
  <c r="J275" i="2"/>
  <c r="J24" i="2"/>
  <c r="J72" i="2"/>
  <c r="J132" i="2"/>
  <c r="J192" i="2"/>
  <c r="J252" i="2"/>
  <c r="J312" i="2"/>
  <c r="J2" i="2"/>
  <c r="J16" i="2"/>
  <c r="J88" i="2"/>
  <c r="J148" i="2"/>
  <c r="J208" i="2"/>
  <c r="J268" i="2"/>
  <c r="J78" i="2"/>
  <c r="J126" i="2"/>
  <c r="J31" i="2"/>
  <c r="J67" i="2"/>
  <c r="J103" i="2"/>
  <c r="J139" i="2"/>
  <c r="J175" i="2"/>
  <c r="J211" i="2"/>
  <c r="J247" i="2"/>
  <c r="J283" i="2"/>
  <c r="J307" i="2"/>
  <c r="J10" i="2"/>
  <c r="J22" i="2"/>
  <c r="J34" i="2"/>
  <c r="J46" i="2"/>
  <c r="J58" i="2"/>
  <c r="J70" i="2"/>
  <c r="J82" i="2"/>
  <c r="J94" i="2"/>
  <c r="J106" i="2"/>
  <c r="J118" i="2"/>
  <c r="J130" i="2"/>
  <c r="J142" i="2"/>
  <c r="J154" i="2"/>
  <c r="J166" i="2"/>
  <c r="J178" i="2"/>
  <c r="J190" i="2"/>
  <c r="J202" i="2"/>
  <c r="J214" i="2"/>
  <c r="J226" i="2"/>
  <c r="J238" i="2"/>
  <c r="J250" i="2"/>
  <c r="J262" i="2"/>
  <c r="J274" i="2"/>
  <c r="J286" i="2"/>
  <c r="J298" i="2"/>
  <c r="J310" i="2"/>
  <c r="J322" i="2"/>
</calcChain>
</file>

<file path=xl/sharedStrings.xml><?xml version="1.0" encoding="utf-8"?>
<sst xmlns="http://schemas.openxmlformats.org/spreadsheetml/2006/main" count="984" uniqueCount="300">
  <si>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</si>
  <si>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</si>
  <si>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</si>
  <si>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</si>
  <si>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</si>
  <si>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</si>
  <si>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</si>
  <si>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</si>
  <si>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</si>
  <si>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</si>
  <si>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</si>
  <si>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</si>
  <si>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</si>
  <si>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</si>
  <si>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</si>
  <si>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</si>
  <si>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</si>
  <si>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</si>
  <si>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</si>
  <si>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</si>
  <si>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</si>
  <si>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</si>
  <si>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</si>
  <si>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</si>
  <si>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</si>
  <si>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</si>
  <si>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</si>
  <si>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</si>
  <si>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</si>
  <si>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</si>
  <si>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</si>
  <si>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</si>
  <si>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</si>
  <si>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</si>
  <si>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</si>
  <si>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</si>
  <si>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</si>
  <si>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</si>
  <si>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</si>
  <si>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</si>
  <si>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</si>
  <si>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</si>
  <si>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</si>
  <si>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</si>
  <si>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</si>
  <si>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</si>
  <si>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</si>
  <si>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</si>
  <si>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</si>
  <si>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</si>
  <si>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</si>
  <si>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</si>
  <si>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</si>
  <si>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</si>
  <si>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</si>
  <si>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</si>
  <si>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</si>
  <si>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</si>
  <si>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</si>
  <si>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</si>
  <si>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</si>
  <si>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</si>
  <si>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</si>
  <si>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</si>
  <si>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</si>
  <si>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</si>
  <si>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</si>
  <si>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</si>
  <si>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</si>
  <si>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</si>
  <si>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</si>
  <si>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</si>
  <si>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</si>
  <si>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</si>
  <si>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</si>
  <si>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</si>
  <si>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</si>
  <si>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</si>
  <si>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</si>
  <si>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</si>
  <si>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</si>
  <si>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</si>
  <si>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</si>
  <si>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</si>
  <si>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</si>
  <si>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</si>
  <si>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</si>
  <si>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</si>
  <si>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</si>
  <si>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</si>
  <si>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</si>
  <si>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</si>
  <si>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</si>
  <si>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</si>
  <si>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</si>
  <si>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</si>
  <si>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</si>
  <si>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</si>
  <si>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</si>
  <si>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</si>
  <si>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</si>
  <si>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</si>
  <si>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</si>
  <si>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</si>
  <si>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</si>
  <si>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</si>
  <si>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</si>
  <si>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</si>
  <si>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</si>
  <si>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</si>
  <si>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</si>
  <si>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</si>
  <si>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</si>
  <si>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</si>
  <si>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</si>
  <si>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</si>
  <si>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</si>
  <si>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</si>
  <si>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</si>
  <si>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</si>
  <si>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</si>
  <si>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</si>
  <si>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</si>
  <si>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</si>
  <si>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</si>
  <si>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</si>
  <si>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</si>
  <si>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</si>
  <si>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</si>
  <si>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</si>
  <si>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</si>
  <si>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</si>
  <si>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</si>
  <si>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</si>
  <si>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</si>
  <si>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</si>
  <si>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</si>
  <si>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</si>
  <si>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</si>
  <si>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</si>
  <si>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</si>
  <si>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</si>
  <si>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</si>
  <si>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</si>
  <si>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</si>
  <si>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</si>
  <si>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</si>
  <si>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</si>
  <si>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</si>
  <si>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</si>
  <si>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</si>
  <si>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</si>
  <si>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</si>
  <si>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</si>
  <si>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</si>
  <si>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</si>
  <si>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</si>
  <si>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</si>
  <si>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</si>
  <si>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</si>
  <si>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</si>
  <si>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</si>
  <si>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</si>
  <si>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</si>
  <si>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</si>
  <si>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</si>
  <si>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</si>
  <si>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</si>
  <si>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</si>
  <si>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</si>
  <si>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</si>
  <si>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</si>
  <si>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</si>
  <si>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</si>
  <si>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</si>
  <si>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</si>
  <si>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</si>
  <si>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</si>
  <si>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</si>
  <si>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</si>
  <si>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</si>
  <si>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</si>
  <si>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</si>
  <si>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</si>
  <si>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</si>
  <si>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</si>
  <si>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</si>
  <si>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</si>
  <si>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</si>
  <si>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</si>
  <si>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</si>
  <si>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</si>
  <si>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</si>
  <si>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</si>
  <si>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</si>
  <si>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</si>
  <si>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</si>
  <si>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</si>
  <si>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</si>
  <si>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</si>
  <si>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</si>
  <si>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</si>
  <si>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</si>
  <si>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</si>
  <si>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</si>
  <si>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</si>
  <si>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</si>
  <si>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</si>
  <si>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</si>
  <si>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</si>
  <si>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</si>
  <si>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</si>
  <si>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</si>
  <si>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</si>
  <si>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</si>
  <si>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</si>
  <si>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</si>
  <si>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</si>
  <si>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</si>
  <si>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</si>
  <si>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</si>
  <si>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</si>
  <si>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</si>
  <si>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</si>
  <si>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</si>
  <si>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</si>
  <si>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</si>
  <si>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</si>
  <si>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</si>
  <si>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</si>
  <si>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</si>
  <si>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</si>
  <si>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</si>
  <si>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</si>
  <si>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</si>
  <si>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</si>
  <si>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</si>
  <si>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</si>
  <si>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</si>
  <si>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</si>
  <si>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</si>
  <si>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</si>
  <si>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</si>
  <si>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</si>
  <si>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</si>
  <si>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</si>
  <si>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</si>
  <si>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</si>
  <si>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</si>
  <si>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</si>
  <si>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</si>
  <si>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</si>
  <si>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</si>
  <si>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</si>
  <si>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</si>
  <si>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</si>
  <si>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</si>
  <si>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</si>
  <si>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</si>
  <si>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</si>
  <si>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</si>
  <si>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</si>
  <si>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</si>
  <si>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</si>
  <si>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</si>
  <si>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</si>
  <si>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</si>
  <si>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</si>
  <si>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</si>
  <si>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</si>
  <si>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</si>
  <si>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</si>
  <si>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</si>
  <si>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</si>
  <si>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</si>
  <si>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</si>
  <si>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</si>
  <si>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</si>
  <si>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</si>
  <si>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</si>
  <si>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</si>
  <si>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</si>
  <si>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</si>
  <si>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</si>
  <si>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</si>
  <si>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</si>
  <si>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</si>
  <si>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</si>
  <si>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</si>
  <si>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</si>
  <si>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</si>
  <si>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</si>
  <si>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</si>
  <si>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</si>
  <si>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</si>
  <si>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</si>
  <si>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</si>
  <si>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Null Check</t>
  </si>
  <si>
    <t>Combine</t>
  </si>
  <si>
    <t>Duplicate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</si>
</sst>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workbookViewId="0">
      <selection sqref="A1:F32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9</v>
      </c>
      <c r="D2">
        <v>6</v>
      </c>
      <c r="E2">
        <v>2016</v>
      </c>
      <c r="F2">
        <v>379.99</v>
      </c>
    </row>
    <row r="3" spans="1:6" x14ac:dyDescent="0.35">
      <c r="A3">
        <v>2</v>
      </c>
      <c r="B3" t="s">
        <v>7</v>
      </c>
      <c r="C3">
        <v>5</v>
      </c>
      <c r="D3">
        <v>6</v>
      </c>
      <c r="E3">
        <v>2016</v>
      </c>
      <c r="F3">
        <v>749.99</v>
      </c>
    </row>
    <row r="4" spans="1:6" x14ac:dyDescent="0.35">
      <c r="A4">
        <v>3</v>
      </c>
      <c r="B4" t="s">
        <v>8</v>
      </c>
      <c r="C4">
        <v>8</v>
      </c>
      <c r="D4">
        <v>6</v>
      </c>
      <c r="E4">
        <v>2016</v>
      </c>
      <c r="F4">
        <v>999.99</v>
      </c>
    </row>
    <row r="5" spans="1:6" x14ac:dyDescent="0.35">
      <c r="A5">
        <v>4</v>
      </c>
      <c r="B5" t="s">
        <v>9</v>
      </c>
      <c r="C5">
        <v>9</v>
      </c>
      <c r="D5">
        <v>6</v>
      </c>
      <c r="E5">
        <v>2016</v>
      </c>
      <c r="F5">
        <v>2899.99</v>
      </c>
    </row>
    <row r="6" spans="1:6" x14ac:dyDescent="0.35">
      <c r="A6">
        <v>5</v>
      </c>
      <c r="B6" t="s">
        <v>10</v>
      </c>
      <c r="C6">
        <v>3</v>
      </c>
      <c r="D6">
        <v>6</v>
      </c>
      <c r="E6">
        <v>2016</v>
      </c>
      <c r="F6">
        <v>1320.99</v>
      </c>
    </row>
    <row r="7" spans="1:6" x14ac:dyDescent="0.35">
      <c r="A7">
        <v>6</v>
      </c>
      <c r="B7" t="s">
        <v>11</v>
      </c>
      <c r="C7">
        <v>8</v>
      </c>
      <c r="D7">
        <v>6</v>
      </c>
      <c r="E7">
        <v>2016</v>
      </c>
      <c r="F7">
        <v>469.99</v>
      </c>
    </row>
    <row r="8" spans="1:6" x14ac:dyDescent="0.35">
      <c r="A8">
        <v>7</v>
      </c>
      <c r="B8" t="s">
        <v>12</v>
      </c>
      <c r="C8">
        <v>9</v>
      </c>
      <c r="D8">
        <v>6</v>
      </c>
      <c r="E8">
        <v>2016</v>
      </c>
      <c r="F8">
        <v>3999.99</v>
      </c>
    </row>
    <row r="9" spans="1:6" x14ac:dyDescent="0.35">
      <c r="A9">
        <v>8</v>
      </c>
      <c r="B9" t="s">
        <v>13</v>
      </c>
      <c r="C9">
        <v>9</v>
      </c>
      <c r="D9">
        <v>6</v>
      </c>
      <c r="E9">
        <v>2016</v>
      </c>
      <c r="F9">
        <v>1799.99</v>
      </c>
    </row>
    <row r="10" spans="1:6" x14ac:dyDescent="0.35">
      <c r="A10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</row>
    <row r="11" spans="1:6" x14ac:dyDescent="0.35">
      <c r="A1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</row>
    <row r="12" spans="1:6" x14ac:dyDescent="0.35">
      <c r="A12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</row>
    <row r="13" spans="1:6" x14ac:dyDescent="0.35">
      <c r="A13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</row>
    <row r="14" spans="1:6" x14ac:dyDescent="0.35">
      <c r="A14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</row>
    <row r="15" spans="1:6" x14ac:dyDescent="0.35">
      <c r="A15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</row>
    <row r="16" spans="1:6" x14ac:dyDescent="0.35">
      <c r="A16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</row>
    <row r="17" spans="1:6" x14ac:dyDescent="0.35">
      <c r="A17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</row>
    <row r="18" spans="1:6" x14ac:dyDescent="0.35">
      <c r="A18">
        <v>17</v>
      </c>
      <c r="B18" t="s">
        <v>22</v>
      </c>
      <c r="C18">
        <v>4</v>
      </c>
      <c r="D18">
        <v>3</v>
      </c>
      <c r="E18">
        <v>2016</v>
      </c>
      <c r="F18">
        <v>429</v>
      </c>
    </row>
    <row r="19" spans="1:6" x14ac:dyDescent="0.35">
      <c r="A19">
        <v>18</v>
      </c>
      <c r="B19" t="s">
        <v>23</v>
      </c>
      <c r="C19">
        <v>4</v>
      </c>
      <c r="D19">
        <v>3</v>
      </c>
      <c r="E19">
        <v>2016</v>
      </c>
      <c r="F19">
        <v>449</v>
      </c>
    </row>
    <row r="20" spans="1:6" x14ac:dyDescent="0.35">
      <c r="A20">
        <v>19</v>
      </c>
      <c r="B20" t="s">
        <v>24</v>
      </c>
      <c r="C20">
        <v>4</v>
      </c>
      <c r="D20">
        <v>3</v>
      </c>
      <c r="E20">
        <v>2016</v>
      </c>
      <c r="F20">
        <v>449</v>
      </c>
    </row>
    <row r="21" spans="1:6" x14ac:dyDescent="0.35">
      <c r="A2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</row>
    <row r="22" spans="1:6" x14ac:dyDescent="0.35">
      <c r="A22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</row>
    <row r="23" spans="1:6" x14ac:dyDescent="0.35">
      <c r="A23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</row>
    <row r="24" spans="1:6" x14ac:dyDescent="0.35">
      <c r="A24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</row>
    <row r="25" spans="1:6" x14ac:dyDescent="0.35">
      <c r="A25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</row>
    <row r="26" spans="1:6" x14ac:dyDescent="0.35">
      <c r="A26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</row>
    <row r="27" spans="1:6" x14ac:dyDescent="0.35">
      <c r="A27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</row>
    <row r="28" spans="1:6" x14ac:dyDescent="0.35">
      <c r="A28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</row>
    <row r="29" spans="1:6" x14ac:dyDescent="0.35">
      <c r="A29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</row>
    <row r="30" spans="1:6" x14ac:dyDescent="0.35">
      <c r="A30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</row>
    <row r="31" spans="1:6" x14ac:dyDescent="0.35">
      <c r="A3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</row>
    <row r="32" spans="1:6" x14ac:dyDescent="0.35">
      <c r="A32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</row>
    <row r="33" spans="1:6" x14ac:dyDescent="0.35">
      <c r="A33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</row>
    <row r="34" spans="1:6" x14ac:dyDescent="0.35">
      <c r="A34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</row>
    <row r="35" spans="1:6" x14ac:dyDescent="0.35">
      <c r="A35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</row>
    <row r="36" spans="1:6" x14ac:dyDescent="0.35">
      <c r="A36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</row>
    <row r="37" spans="1:6" x14ac:dyDescent="0.35">
      <c r="A37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</row>
    <row r="38" spans="1:6" x14ac:dyDescent="0.35">
      <c r="A38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</row>
    <row r="39" spans="1:6" x14ac:dyDescent="0.35">
      <c r="A39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</row>
    <row r="40" spans="1:6" x14ac:dyDescent="0.35">
      <c r="A40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</row>
    <row r="41" spans="1:6" x14ac:dyDescent="0.35">
      <c r="A4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</row>
    <row r="42" spans="1:6" x14ac:dyDescent="0.35">
      <c r="A42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</row>
    <row r="43" spans="1:6" x14ac:dyDescent="0.35">
      <c r="A43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</row>
    <row r="44" spans="1:6" x14ac:dyDescent="0.35">
      <c r="A44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</row>
    <row r="45" spans="1:6" x14ac:dyDescent="0.35">
      <c r="A45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</row>
    <row r="46" spans="1:6" x14ac:dyDescent="0.35">
      <c r="A46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</row>
    <row r="47" spans="1:6" x14ac:dyDescent="0.35">
      <c r="A47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</row>
    <row r="48" spans="1:6" x14ac:dyDescent="0.35">
      <c r="A48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</row>
    <row r="49" spans="1:6" x14ac:dyDescent="0.35">
      <c r="A49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</row>
    <row r="50" spans="1:6" x14ac:dyDescent="0.35">
      <c r="A50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</row>
    <row r="51" spans="1:6" x14ac:dyDescent="0.35">
      <c r="A5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</row>
    <row r="52" spans="1:6" x14ac:dyDescent="0.35">
      <c r="A52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</row>
    <row r="53" spans="1:6" x14ac:dyDescent="0.35">
      <c r="A53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</row>
    <row r="54" spans="1:6" x14ac:dyDescent="0.35">
      <c r="A54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</row>
    <row r="55" spans="1:6" x14ac:dyDescent="0.35">
      <c r="A55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</row>
    <row r="56" spans="1:6" x14ac:dyDescent="0.35">
      <c r="A56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</row>
    <row r="57" spans="1:6" x14ac:dyDescent="0.35">
      <c r="A57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</row>
    <row r="58" spans="1:6" x14ac:dyDescent="0.35">
      <c r="A58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</row>
    <row r="59" spans="1:6" x14ac:dyDescent="0.35">
      <c r="A59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</row>
    <row r="60" spans="1:6" x14ac:dyDescent="0.35">
      <c r="A60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</row>
    <row r="61" spans="1:6" x14ac:dyDescent="0.35">
      <c r="A6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</row>
    <row r="62" spans="1:6" x14ac:dyDescent="0.35">
      <c r="A62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</row>
    <row r="63" spans="1:6" x14ac:dyDescent="0.35">
      <c r="A63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</row>
    <row r="64" spans="1:6" x14ac:dyDescent="0.35">
      <c r="A64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</row>
    <row r="65" spans="1:6" x14ac:dyDescent="0.35">
      <c r="A65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</row>
    <row r="66" spans="1:6" x14ac:dyDescent="0.35">
      <c r="A66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</row>
    <row r="67" spans="1:6" x14ac:dyDescent="0.35">
      <c r="A67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</row>
    <row r="68" spans="1:6" x14ac:dyDescent="0.35">
      <c r="A68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</row>
    <row r="69" spans="1:6" x14ac:dyDescent="0.35">
      <c r="A69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</row>
    <row r="70" spans="1:6" x14ac:dyDescent="0.35">
      <c r="A70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</row>
    <row r="71" spans="1:6" x14ac:dyDescent="0.35">
      <c r="A7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</row>
    <row r="72" spans="1:6" x14ac:dyDescent="0.35">
      <c r="A72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</row>
    <row r="73" spans="1:6" x14ac:dyDescent="0.35">
      <c r="A73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</row>
    <row r="74" spans="1:6" x14ac:dyDescent="0.35">
      <c r="A74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</row>
    <row r="75" spans="1:6" x14ac:dyDescent="0.35">
      <c r="A75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</row>
    <row r="76" spans="1:6" x14ac:dyDescent="0.35">
      <c r="A76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</row>
    <row r="77" spans="1:6" x14ac:dyDescent="0.35">
      <c r="A77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</row>
    <row r="78" spans="1:6" x14ac:dyDescent="0.35">
      <c r="A78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</row>
    <row r="79" spans="1:6" x14ac:dyDescent="0.35">
      <c r="A79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</row>
    <row r="80" spans="1:6" x14ac:dyDescent="0.35">
      <c r="A80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</row>
    <row r="81" spans="1:6" x14ac:dyDescent="0.35">
      <c r="A8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</row>
    <row r="82" spans="1:6" x14ac:dyDescent="0.35">
      <c r="A82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</row>
    <row r="83" spans="1:6" x14ac:dyDescent="0.35">
      <c r="A83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</row>
    <row r="84" spans="1:6" x14ac:dyDescent="0.35">
      <c r="A84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</row>
    <row r="85" spans="1:6" x14ac:dyDescent="0.35">
      <c r="A85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</row>
    <row r="86" spans="1:6" x14ac:dyDescent="0.35">
      <c r="A86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</row>
    <row r="87" spans="1:6" x14ac:dyDescent="0.35">
      <c r="A87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</row>
    <row r="88" spans="1:6" x14ac:dyDescent="0.35">
      <c r="A88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</row>
    <row r="89" spans="1:6" x14ac:dyDescent="0.35">
      <c r="A89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</row>
    <row r="90" spans="1:6" x14ac:dyDescent="0.35">
      <c r="A90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</row>
    <row r="91" spans="1:6" x14ac:dyDescent="0.35">
      <c r="A9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</row>
    <row r="92" spans="1:6" x14ac:dyDescent="0.35">
      <c r="A92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</row>
    <row r="93" spans="1:6" x14ac:dyDescent="0.35">
      <c r="A93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</row>
    <row r="94" spans="1:6" x14ac:dyDescent="0.35">
      <c r="A94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</row>
    <row r="95" spans="1:6" x14ac:dyDescent="0.35">
      <c r="A95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</row>
    <row r="96" spans="1:6" x14ac:dyDescent="0.35">
      <c r="A96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</row>
    <row r="97" spans="1:6" x14ac:dyDescent="0.35">
      <c r="A97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</row>
    <row r="98" spans="1:6" x14ac:dyDescent="0.35">
      <c r="A98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</row>
    <row r="99" spans="1:6" x14ac:dyDescent="0.35">
      <c r="A99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</row>
    <row r="100" spans="1:6" x14ac:dyDescent="0.35">
      <c r="A100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</row>
    <row r="101" spans="1:6" x14ac:dyDescent="0.35">
      <c r="A10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</row>
    <row r="102" spans="1:6" x14ac:dyDescent="0.35">
      <c r="A102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</row>
    <row r="103" spans="1:6" x14ac:dyDescent="0.35">
      <c r="A103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</row>
    <row r="104" spans="1:6" x14ac:dyDescent="0.35">
      <c r="A104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</row>
    <row r="105" spans="1:6" x14ac:dyDescent="0.35">
      <c r="A105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</row>
    <row r="106" spans="1:6" x14ac:dyDescent="0.35">
      <c r="A106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</row>
    <row r="107" spans="1:6" x14ac:dyDescent="0.35">
      <c r="A107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</row>
    <row r="108" spans="1:6" x14ac:dyDescent="0.35">
      <c r="A108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</row>
    <row r="109" spans="1:6" x14ac:dyDescent="0.35">
      <c r="A109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</row>
    <row r="110" spans="1:6" x14ac:dyDescent="0.35">
      <c r="A110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</row>
    <row r="111" spans="1:6" x14ac:dyDescent="0.35">
      <c r="A11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</row>
    <row r="112" spans="1:6" x14ac:dyDescent="0.35">
      <c r="A112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</row>
    <row r="113" spans="1:6" x14ac:dyDescent="0.35">
      <c r="A113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</row>
    <row r="114" spans="1:6" x14ac:dyDescent="0.35">
      <c r="A114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</row>
    <row r="115" spans="1:6" x14ac:dyDescent="0.35">
      <c r="A115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</row>
    <row r="116" spans="1:6" x14ac:dyDescent="0.35">
      <c r="A116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</row>
    <row r="117" spans="1:6" x14ac:dyDescent="0.35">
      <c r="A117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</row>
    <row r="118" spans="1:6" x14ac:dyDescent="0.35">
      <c r="A118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</row>
    <row r="119" spans="1:6" x14ac:dyDescent="0.35">
      <c r="A119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</row>
    <row r="120" spans="1:6" x14ac:dyDescent="0.35">
      <c r="A120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</row>
    <row r="121" spans="1:6" x14ac:dyDescent="0.35">
      <c r="A12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5">
      <c r="A122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5">
      <c r="A123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5">
      <c r="A124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</row>
    <row r="125" spans="1:6" x14ac:dyDescent="0.35">
      <c r="A125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</row>
    <row r="126" spans="1:6" x14ac:dyDescent="0.35">
      <c r="A126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</row>
    <row r="127" spans="1:6" x14ac:dyDescent="0.35">
      <c r="A127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</row>
    <row r="128" spans="1:6" x14ac:dyDescent="0.35">
      <c r="A128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</row>
    <row r="129" spans="1:6" x14ac:dyDescent="0.35">
      <c r="A129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</row>
    <row r="130" spans="1:6" x14ac:dyDescent="0.35">
      <c r="A130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</row>
    <row r="131" spans="1:6" x14ac:dyDescent="0.35">
      <c r="A13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</row>
    <row r="132" spans="1:6" x14ac:dyDescent="0.35">
      <c r="A132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</row>
    <row r="133" spans="1:6" x14ac:dyDescent="0.35">
      <c r="A133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</row>
    <row r="134" spans="1:6" x14ac:dyDescent="0.35">
      <c r="A134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</row>
    <row r="135" spans="1:6" x14ac:dyDescent="0.35">
      <c r="A135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</row>
    <row r="136" spans="1:6" x14ac:dyDescent="0.35">
      <c r="A136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</row>
    <row r="137" spans="1:6" x14ac:dyDescent="0.35">
      <c r="A137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</row>
    <row r="138" spans="1:6" x14ac:dyDescent="0.35">
      <c r="A138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</row>
    <row r="139" spans="1:6" x14ac:dyDescent="0.35">
      <c r="A139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5">
      <c r="A140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</row>
    <row r="141" spans="1:6" x14ac:dyDescent="0.35">
      <c r="A14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</row>
    <row r="142" spans="1:6" x14ac:dyDescent="0.35">
      <c r="A142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</row>
    <row r="143" spans="1:6" x14ac:dyDescent="0.35">
      <c r="A143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</row>
    <row r="144" spans="1:6" x14ac:dyDescent="0.35">
      <c r="A144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</row>
    <row r="145" spans="1:6" x14ac:dyDescent="0.35">
      <c r="A145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</row>
    <row r="146" spans="1:6" x14ac:dyDescent="0.35">
      <c r="A146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</row>
    <row r="147" spans="1:6" x14ac:dyDescent="0.35">
      <c r="A147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</row>
    <row r="148" spans="1:6" x14ac:dyDescent="0.35">
      <c r="A148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</row>
    <row r="149" spans="1:6" x14ac:dyDescent="0.35">
      <c r="A149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</row>
    <row r="150" spans="1:6" x14ac:dyDescent="0.35">
      <c r="A150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</row>
    <row r="151" spans="1:6" x14ac:dyDescent="0.35">
      <c r="A15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</row>
    <row r="152" spans="1:6" x14ac:dyDescent="0.35">
      <c r="A152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</row>
    <row r="153" spans="1:6" x14ac:dyDescent="0.35">
      <c r="A153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5">
      <c r="A154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</row>
    <row r="155" spans="1:6" x14ac:dyDescent="0.35">
      <c r="A155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</row>
    <row r="156" spans="1:6" x14ac:dyDescent="0.35">
      <c r="A156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</row>
    <row r="157" spans="1:6" x14ac:dyDescent="0.35">
      <c r="A157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</row>
    <row r="158" spans="1:6" x14ac:dyDescent="0.35">
      <c r="A158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</row>
    <row r="159" spans="1:6" x14ac:dyDescent="0.35">
      <c r="A159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</row>
    <row r="160" spans="1:6" x14ac:dyDescent="0.35">
      <c r="A160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5">
      <c r="A16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</row>
    <row r="162" spans="1:6" x14ac:dyDescent="0.35">
      <c r="A162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</row>
    <row r="163" spans="1:6" x14ac:dyDescent="0.35">
      <c r="A163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</row>
    <row r="164" spans="1:6" x14ac:dyDescent="0.35">
      <c r="A164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</row>
    <row r="165" spans="1:6" x14ac:dyDescent="0.35">
      <c r="A165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</row>
    <row r="166" spans="1:6" x14ac:dyDescent="0.35">
      <c r="A166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5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</row>
    <row r="168" spans="1:6" x14ac:dyDescent="0.35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</row>
    <row r="169" spans="1:6" x14ac:dyDescent="0.35">
      <c r="A169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</row>
    <row r="170" spans="1:6" x14ac:dyDescent="0.35">
      <c r="A170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</row>
    <row r="171" spans="1:6" x14ac:dyDescent="0.35">
      <c r="A17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</row>
    <row r="172" spans="1:6" x14ac:dyDescent="0.35">
      <c r="A172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</row>
    <row r="173" spans="1:6" x14ac:dyDescent="0.35">
      <c r="A173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</row>
    <row r="174" spans="1:6" x14ac:dyDescent="0.35">
      <c r="A174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</row>
    <row r="175" spans="1:6" x14ac:dyDescent="0.35">
      <c r="A175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</row>
    <row r="176" spans="1:6" x14ac:dyDescent="0.35">
      <c r="A176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</row>
    <row r="177" spans="1:6" x14ac:dyDescent="0.35">
      <c r="A177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</row>
    <row r="178" spans="1:6" x14ac:dyDescent="0.35">
      <c r="A178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</row>
    <row r="179" spans="1:6" x14ac:dyDescent="0.35">
      <c r="A179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</row>
    <row r="180" spans="1:6" x14ac:dyDescent="0.35">
      <c r="A180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</row>
    <row r="181" spans="1:6" x14ac:dyDescent="0.35">
      <c r="A18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</row>
    <row r="182" spans="1:6" x14ac:dyDescent="0.35">
      <c r="A182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5">
      <c r="A183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5">
      <c r="A184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5">
      <c r="A185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</row>
    <row r="186" spans="1:6" x14ac:dyDescent="0.35">
      <c r="A186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</row>
    <row r="187" spans="1:6" x14ac:dyDescent="0.35">
      <c r="A187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</row>
    <row r="188" spans="1:6" x14ac:dyDescent="0.35">
      <c r="A188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</row>
    <row r="189" spans="1:6" x14ac:dyDescent="0.35">
      <c r="A189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</row>
    <row r="190" spans="1:6" x14ac:dyDescent="0.35">
      <c r="A190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</row>
    <row r="191" spans="1:6" x14ac:dyDescent="0.35">
      <c r="A19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</row>
    <row r="192" spans="1:6" x14ac:dyDescent="0.35">
      <c r="A192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</row>
    <row r="193" spans="1:6" x14ac:dyDescent="0.35">
      <c r="A193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5">
      <c r="A194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</row>
    <row r="195" spans="1:6" x14ac:dyDescent="0.35">
      <c r="A195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</row>
    <row r="196" spans="1:6" x14ac:dyDescent="0.35">
      <c r="A196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5">
      <c r="A197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5">
      <c r="A198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5">
      <c r="A199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</row>
    <row r="200" spans="1:6" x14ac:dyDescent="0.35">
      <c r="A200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</row>
    <row r="201" spans="1:6" x14ac:dyDescent="0.35">
      <c r="A20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</row>
    <row r="202" spans="1:6" x14ac:dyDescent="0.35">
      <c r="A202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</row>
    <row r="203" spans="1:6" x14ac:dyDescent="0.35">
      <c r="A203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</row>
    <row r="204" spans="1:6" x14ac:dyDescent="0.35">
      <c r="A204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</row>
    <row r="205" spans="1:6" x14ac:dyDescent="0.35">
      <c r="A205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</row>
    <row r="206" spans="1:6" x14ac:dyDescent="0.35">
      <c r="A206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</row>
    <row r="207" spans="1:6" x14ac:dyDescent="0.35">
      <c r="A207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</row>
    <row r="208" spans="1:6" x14ac:dyDescent="0.35">
      <c r="A208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</row>
    <row r="209" spans="1:6" x14ac:dyDescent="0.35">
      <c r="A209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</row>
    <row r="210" spans="1:6" x14ac:dyDescent="0.35">
      <c r="A210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</row>
    <row r="211" spans="1:6" x14ac:dyDescent="0.35">
      <c r="A21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</row>
    <row r="212" spans="1:6" x14ac:dyDescent="0.35">
      <c r="A212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</row>
    <row r="213" spans="1:6" x14ac:dyDescent="0.35">
      <c r="A213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</row>
    <row r="214" spans="1:6" x14ac:dyDescent="0.35">
      <c r="A214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</row>
    <row r="215" spans="1:6" x14ac:dyDescent="0.35">
      <c r="A215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</row>
    <row r="216" spans="1:6" x14ac:dyDescent="0.35">
      <c r="A216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</row>
    <row r="217" spans="1:6" x14ac:dyDescent="0.35">
      <c r="A217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</row>
    <row r="218" spans="1:6" x14ac:dyDescent="0.35">
      <c r="A218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</row>
    <row r="219" spans="1:6" x14ac:dyDescent="0.35">
      <c r="A219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</row>
    <row r="220" spans="1:6" x14ac:dyDescent="0.35">
      <c r="A220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</row>
    <row r="221" spans="1:6" x14ac:dyDescent="0.35">
      <c r="A22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</row>
    <row r="222" spans="1:6" x14ac:dyDescent="0.35">
      <c r="A222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</row>
    <row r="223" spans="1:6" x14ac:dyDescent="0.35">
      <c r="A223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</row>
    <row r="224" spans="1:6" x14ac:dyDescent="0.35">
      <c r="A224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</row>
    <row r="225" spans="1:6" x14ac:dyDescent="0.35">
      <c r="A225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</row>
    <row r="226" spans="1:6" x14ac:dyDescent="0.35">
      <c r="A226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</row>
    <row r="227" spans="1:6" x14ac:dyDescent="0.35">
      <c r="A227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</row>
    <row r="228" spans="1:6" x14ac:dyDescent="0.35">
      <c r="A228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</row>
    <row r="229" spans="1:6" x14ac:dyDescent="0.35">
      <c r="A229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</row>
    <row r="230" spans="1:6" x14ac:dyDescent="0.35">
      <c r="A230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</row>
    <row r="231" spans="1:6" x14ac:dyDescent="0.35">
      <c r="A23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</row>
    <row r="232" spans="1:6" x14ac:dyDescent="0.35">
      <c r="A232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</row>
    <row r="233" spans="1:6" x14ac:dyDescent="0.35">
      <c r="A233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</row>
    <row r="234" spans="1:6" x14ac:dyDescent="0.35">
      <c r="A234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</row>
    <row r="235" spans="1:6" x14ac:dyDescent="0.35">
      <c r="A235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</row>
    <row r="236" spans="1:6" x14ac:dyDescent="0.35">
      <c r="A236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</row>
    <row r="237" spans="1:6" x14ac:dyDescent="0.35">
      <c r="A237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</row>
    <row r="238" spans="1:6" x14ac:dyDescent="0.35">
      <c r="A238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</row>
    <row r="239" spans="1:6" x14ac:dyDescent="0.35">
      <c r="A239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</row>
    <row r="240" spans="1:6" x14ac:dyDescent="0.35">
      <c r="A240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</row>
    <row r="241" spans="1:6" x14ac:dyDescent="0.35">
      <c r="A24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</row>
    <row r="242" spans="1:6" x14ac:dyDescent="0.35">
      <c r="A242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</row>
    <row r="243" spans="1:6" x14ac:dyDescent="0.35">
      <c r="A243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</row>
    <row r="244" spans="1:6" x14ac:dyDescent="0.35">
      <c r="A244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</row>
    <row r="245" spans="1:6" x14ac:dyDescent="0.35">
      <c r="A245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</row>
    <row r="246" spans="1:6" x14ac:dyDescent="0.35">
      <c r="A246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</row>
    <row r="247" spans="1:6" x14ac:dyDescent="0.35">
      <c r="A247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</row>
    <row r="248" spans="1:6" x14ac:dyDescent="0.35">
      <c r="A248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</row>
    <row r="249" spans="1:6" x14ac:dyDescent="0.35">
      <c r="A249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</row>
    <row r="250" spans="1:6" x14ac:dyDescent="0.35">
      <c r="A250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</row>
    <row r="251" spans="1:6" x14ac:dyDescent="0.35">
      <c r="A25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5">
      <c r="A252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</row>
    <row r="253" spans="1:6" x14ac:dyDescent="0.35">
      <c r="A253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</row>
    <row r="254" spans="1:6" x14ac:dyDescent="0.35">
      <c r="A254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5">
      <c r="A255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</row>
    <row r="256" spans="1:6" x14ac:dyDescent="0.35">
      <c r="A256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</row>
    <row r="257" spans="1:6" x14ac:dyDescent="0.35">
      <c r="A257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</row>
    <row r="258" spans="1:6" x14ac:dyDescent="0.35">
      <c r="A258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</row>
    <row r="259" spans="1:6" x14ac:dyDescent="0.35">
      <c r="A259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5">
      <c r="A260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</row>
    <row r="261" spans="1:6" x14ac:dyDescent="0.35">
      <c r="A26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</row>
    <row r="262" spans="1:6" x14ac:dyDescent="0.35">
      <c r="A262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</row>
    <row r="263" spans="1:6" x14ac:dyDescent="0.35">
      <c r="A263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</row>
    <row r="264" spans="1:6" x14ac:dyDescent="0.35">
      <c r="A264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</row>
    <row r="265" spans="1:6" x14ac:dyDescent="0.35">
      <c r="A265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</row>
    <row r="266" spans="1:6" x14ac:dyDescent="0.35">
      <c r="A266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</row>
    <row r="267" spans="1:6" x14ac:dyDescent="0.35">
      <c r="A267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</row>
    <row r="268" spans="1:6" x14ac:dyDescent="0.35">
      <c r="A268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</row>
    <row r="269" spans="1:6" x14ac:dyDescent="0.35">
      <c r="A269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</row>
    <row r="270" spans="1:6" x14ac:dyDescent="0.35">
      <c r="A270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</row>
    <row r="271" spans="1:6" x14ac:dyDescent="0.35">
      <c r="A27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</row>
    <row r="272" spans="1:6" x14ac:dyDescent="0.35">
      <c r="A272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</row>
    <row r="273" spans="1:6" x14ac:dyDescent="0.35">
      <c r="A273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</row>
    <row r="274" spans="1:6" x14ac:dyDescent="0.35">
      <c r="A274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</row>
    <row r="275" spans="1:6" x14ac:dyDescent="0.35">
      <c r="A275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</row>
    <row r="276" spans="1:6" x14ac:dyDescent="0.35">
      <c r="A276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</row>
    <row r="277" spans="1:6" x14ac:dyDescent="0.35">
      <c r="A277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</row>
    <row r="278" spans="1:6" x14ac:dyDescent="0.35">
      <c r="A278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</row>
    <row r="279" spans="1:6" x14ac:dyDescent="0.35">
      <c r="A279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</row>
    <row r="280" spans="1:6" x14ac:dyDescent="0.35">
      <c r="A280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</row>
    <row r="281" spans="1:6" x14ac:dyDescent="0.35">
      <c r="A28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</row>
    <row r="282" spans="1:6" x14ac:dyDescent="0.35">
      <c r="A282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</row>
    <row r="283" spans="1:6" x14ac:dyDescent="0.35">
      <c r="A283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</row>
    <row r="284" spans="1:6" x14ac:dyDescent="0.35">
      <c r="A284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</row>
    <row r="285" spans="1:6" x14ac:dyDescent="0.35">
      <c r="A285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</row>
    <row r="286" spans="1:6" x14ac:dyDescent="0.35">
      <c r="A286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</row>
    <row r="287" spans="1:6" x14ac:dyDescent="0.35">
      <c r="A287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</row>
    <row r="288" spans="1:6" x14ac:dyDescent="0.35">
      <c r="A288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</row>
    <row r="289" spans="1:6" x14ac:dyDescent="0.35">
      <c r="A289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</row>
    <row r="290" spans="1:6" x14ac:dyDescent="0.35">
      <c r="A290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</row>
    <row r="291" spans="1:6" x14ac:dyDescent="0.35">
      <c r="A29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</row>
    <row r="292" spans="1:6" x14ac:dyDescent="0.35">
      <c r="A292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</row>
    <row r="293" spans="1:6" x14ac:dyDescent="0.35">
      <c r="A293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</row>
    <row r="294" spans="1:6" x14ac:dyDescent="0.35">
      <c r="A294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</row>
    <row r="295" spans="1:6" x14ac:dyDescent="0.35">
      <c r="A295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</row>
    <row r="296" spans="1:6" x14ac:dyDescent="0.35">
      <c r="A296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</row>
    <row r="297" spans="1:6" x14ac:dyDescent="0.35">
      <c r="A297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</row>
    <row r="298" spans="1:6" x14ac:dyDescent="0.35">
      <c r="A298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</row>
    <row r="299" spans="1:6" x14ac:dyDescent="0.35">
      <c r="A299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</row>
    <row r="300" spans="1:6" x14ac:dyDescent="0.35">
      <c r="A300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</row>
    <row r="301" spans="1:6" x14ac:dyDescent="0.35">
      <c r="A30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</row>
    <row r="302" spans="1:6" x14ac:dyDescent="0.35">
      <c r="A302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</row>
    <row r="303" spans="1:6" x14ac:dyDescent="0.35">
      <c r="A303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</row>
    <row r="304" spans="1:6" x14ac:dyDescent="0.35">
      <c r="A304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5">
      <c r="A305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</row>
    <row r="306" spans="1:6" x14ac:dyDescent="0.35">
      <c r="A306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</row>
    <row r="307" spans="1:6" x14ac:dyDescent="0.35">
      <c r="A307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</row>
    <row r="308" spans="1:6" x14ac:dyDescent="0.35">
      <c r="A308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</row>
    <row r="309" spans="1:6" x14ac:dyDescent="0.35">
      <c r="A309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</row>
    <row r="310" spans="1:6" x14ac:dyDescent="0.35">
      <c r="A310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</row>
    <row r="311" spans="1:6" x14ac:dyDescent="0.35">
      <c r="A31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</row>
    <row r="312" spans="1:6" x14ac:dyDescent="0.35">
      <c r="A312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</row>
    <row r="313" spans="1:6" x14ac:dyDescent="0.35">
      <c r="A313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</row>
    <row r="314" spans="1:6" x14ac:dyDescent="0.35">
      <c r="A314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</row>
    <row r="315" spans="1:6" x14ac:dyDescent="0.35">
      <c r="A315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</row>
    <row r="316" spans="1:6" x14ac:dyDescent="0.35">
      <c r="A316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</row>
    <row r="317" spans="1:6" x14ac:dyDescent="0.35">
      <c r="A317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</row>
    <row r="318" spans="1:6" x14ac:dyDescent="0.35">
      <c r="A318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</row>
    <row r="319" spans="1:6" x14ac:dyDescent="0.35">
      <c r="A319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</row>
    <row r="320" spans="1:6" x14ac:dyDescent="0.35">
      <c r="A320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</row>
    <row r="321" spans="1:6" x14ac:dyDescent="0.35">
      <c r="A32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</row>
    <row r="322" spans="1:6" x14ac:dyDescent="0.35">
      <c r="A322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2"/>
  <sheetViews>
    <sheetView tabSelected="1" workbookViewId="0">
      <selection activeCell="J19" sqref="J19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297</v>
      </c>
      <c r="I1" s="3" t="s">
        <v>298</v>
      </c>
      <c r="J1" s="3" t="s">
        <v>299</v>
      </c>
    </row>
    <row r="2" spans="1:10" x14ac:dyDescent="0.35">
      <c r="A2" s="2">
        <v>1</v>
      </c>
      <c r="B2" s="2" t="s">
        <v>6</v>
      </c>
      <c r="C2" s="2">
        <v>9</v>
      </c>
      <c r="D2" s="2">
        <v>6</v>
      </c>
      <c r="E2" s="2">
        <v>2016</v>
      </c>
      <c r="F2" s="2">
        <v>379.99</v>
      </c>
      <c r="H2" t="b">
        <f>ISBLANK($A$2:$A$322)</f>
        <v>0</v>
      </c>
      <c r="I2" t="str">
        <f>A2&amp;B2&amp;C2&amp;D2&amp;E2&amp;F2</f>
        <v>1Trek 820 - 2016962016379.99</v>
      </c>
      <c r="J2" t="str">
        <f>IF(COUNTIF($I$2:$I$322,I2)&gt;1,"Duplicate","Unique")</f>
        <v>Unique</v>
      </c>
    </row>
    <row r="3" spans="1:10" x14ac:dyDescent="0.35">
      <c r="A3" s="2">
        <v>2</v>
      </c>
      <c r="B3" s="2" t="s">
        <v>7</v>
      </c>
      <c r="C3" s="2">
        <v>5</v>
      </c>
      <c r="D3" s="2">
        <v>6</v>
      </c>
      <c r="E3" s="2">
        <v>2016</v>
      </c>
      <c r="F3" s="2">
        <v>749.99</v>
      </c>
      <c r="H3" t="b">
        <f>ISBLANK($B$2:$B$322)</f>
        <v>0</v>
      </c>
      <c r="I3" t="str">
        <f t="shared" ref="I3:I66" si="0">A3&amp;B3&amp;C3&amp;D3&amp;E3&amp;F3</f>
        <v>2Ritchey Timberwolf Frameset - 2016562016749.99</v>
      </c>
      <c r="J3" t="str">
        <f t="shared" ref="J3:J66" si="1">IF(COUNTIF($I$2:$I$322,I3)&gt;1,"Duplicate","Unique")</f>
        <v>Unique</v>
      </c>
    </row>
    <row r="4" spans="1:10" x14ac:dyDescent="0.35">
      <c r="A4" s="2">
        <v>3</v>
      </c>
      <c r="B4" s="2" t="s">
        <v>8</v>
      </c>
      <c r="C4" s="2">
        <v>8</v>
      </c>
      <c r="D4" s="2">
        <v>6</v>
      </c>
      <c r="E4" s="2">
        <v>2016</v>
      </c>
      <c r="F4" s="2">
        <v>999.99</v>
      </c>
      <c r="H4" t="b">
        <f>ISBLANK($C$2:$C$322)</f>
        <v>0</v>
      </c>
      <c r="I4" t="str">
        <f t="shared" si="0"/>
        <v>3Surly Wednesday Frameset - 2016862016999.99</v>
      </c>
      <c r="J4" t="str">
        <f t="shared" si="1"/>
        <v>Unique</v>
      </c>
    </row>
    <row r="5" spans="1:10" x14ac:dyDescent="0.35">
      <c r="A5" s="2">
        <v>4</v>
      </c>
      <c r="B5" s="2" t="s">
        <v>9</v>
      </c>
      <c r="C5" s="2">
        <v>9</v>
      </c>
      <c r="D5" s="2">
        <v>6</v>
      </c>
      <c r="E5" s="2">
        <v>2016</v>
      </c>
      <c r="F5" s="2">
        <v>2899.99</v>
      </c>
      <c r="H5" t="b">
        <f>ISBLANK($D$2:$D$322)</f>
        <v>0</v>
      </c>
      <c r="I5" t="str">
        <f t="shared" si="0"/>
        <v>4Trek Fuel EX 8 29 - 20169620162899.99</v>
      </c>
      <c r="J5" t="str">
        <f t="shared" si="1"/>
        <v>Unique</v>
      </c>
    </row>
    <row r="6" spans="1:10" x14ac:dyDescent="0.35">
      <c r="A6" s="2">
        <v>5</v>
      </c>
      <c r="B6" s="2" t="s">
        <v>10</v>
      </c>
      <c r="C6" s="2">
        <v>3</v>
      </c>
      <c r="D6" s="2">
        <v>6</v>
      </c>
      <c r="E6" s="2">
        <v>2016</v>
      </c>
      <c r="F6" s="2">
        <v>1320.99</v>
      </c>
      <c r="H6" t="b">
        <f>ISBLANK($E$2:$E$322)</f>
        <v>0</v>
      </c>
      <c r="I6" t="str">
        <f t="shared" si="0"/>
        <v>5Heller Shagamaw Frame - 20163620161320.99</v>
      </c>
      <c r="J6" t="str">
        <f t="shared" si="1"/>
        <v>Unique</v>
      </c>
    </row>
    <row r="7" spans="1:10" x14ac:dyDescent="0.35">
      <c r="A7" s="2">
        <v>6</v>
      </c>
      <c r="B7" s="2" t="s">
        <v>11</v>
      </c>
      <c r="C7" s="2">
        <v>8</v>
      </c>
      <c r="D7" s="2">
        <v>6</v>
      </c>
      <c r="E7" s="2">
        <v>2016</v>
      </c>
      <c r="F7" s="2">
        <v>469.99</v>
      </c>
      <c r="H7" t="b">
        <f>ISBLANK($F$2:$F$322)</f>
        <v>0</v>
      </c>
      <c r="I7" t="str">
        <f t="shared" si="0"/>
        <v>6Surly Ice Cream Truck Frameset - 2016862016469.99</v>
      </c>
      <c r="J7" t="str">
        <f t="shared" si="1"/>
        <v>Unique</v>
      </c>
    </row>
    <row r="8" spans="1:10" x14ac:dyDescent="0.35">
      <c r="A8" s="2">
        <v>7</v>
      </c>
      <c r="B8" s="2" t="s">
        <v>12</v>
      </c>
      <c r="C8" s="2">
        <v>9</v>
      </c>
      <c r="D8" s="2">
        <v>6</v>
      </c>
      <c r="E8" s="2">
        <v>2016</v>
      </c>
      <c r="F8" s="2">
        <v>3999.99</v>
      </c>
      <c r="I8" t="str">
        <f t="shared" si="0"/>
        <v>7Trek Slash 8 27.5 - 20169620163999.99</v>
      </c>
      <c r="J8" t="str">
        <f t="shared" si="1"/>
        <v>Unique</v>
      </c>
    </row>
    <row r="9" spans="1:10" x14ac:dyDescent="0.35">
      <c r="A9" s="2">
        <v>8</v>
      </c>
      <c r="B9" s="2" t="s">
        <v>13</v>
      </c>
      <c r="C9" s="2">
        <v>9</v>
      </c>
      <c r="D9" s="2">
        <v>6</v>
      </c>
      <c r="E9" s="2">
        <v>2016</v>
      </c>
      <c r="F9" s="2">
        <v>1799.99</v>
      </c>
      <c r="I9" t="str">
        <f t="shared" si="0"/>
        <v>8Trek Remedy 29 Carbon Frameset - 20169620161799.99</v>
      </c>
      <c r="J9" t="str">
        <f t="shared" si="1"/>
        <v>Unique</v>
      </c>
    </row>
    <row r="10" spans="1:10" x14ac:dyDescent="0.35">
      <c r="A10" s="2">
        <v>9</v>
      </c>
      <c r="B10" s="2" t="s">
        <v>14</v>
      </c>
      <c r="C10" s="2">
        <v>9</v>
      </c>
      <c r="D10" s="2">
        <v>5</v>
      </c>
      <c r="E10" s="2">
        <v>2016</v>
      </c>
      <c r="F10" s="2">
        <v>2999.99</v>
      </c>
      <c r="I10" t="str">
        <f t="shared" si="0"/>
        <v>9Trek Conduit+ - 20169520162999.99</v>
      </c>
      <c r="J10" t="str">
        <f t="shared" si="1"/>
        <v>Unique</v>
      </c>
    </row>
    <row r="11" spans="1:10" x14ac:dyDescent="0.35">
      <c r="A11" s="2">
        <v>10</v>
      </c>
      <c r="B11" s="2" t="s">
        <v>15</v>
      </c>
      <c r="C11" s="2">
        <v>8</v>
      </c>
      <c r="D11" s="2">
        <v>4</v>
      </c>
      <c r="E11" s="2">
        <v>2016</v>
      </c>
      <c r="F11" s="2">
        <v>1549</v>
      </c>
      <c r="I11" t="str">
        <f t="shared" si="0"/>
        <v>10Surly Straggler - 20168420161549</v>
      </c>
      <c r="J11" t="str">
        <f t="shared" si="1"/>
        <v>Unique</v>
      </c>
    </row>
    <row r="12" spans="1:10" x14ac:dyDescent="0.35">
      <c r="A12" s="2">
        <v>11</v>
      </c>
      <c r="B12" s="2" t="s">
        <v>16</v>
      </c>
      <c r="C12" s="2">
        <v>8</v>
      </c>
      <c r="D12" s="2">
        <v>4</v>
      </c>
      <c r="E12" s="2">
        <v>2016</v>
      </c>
      <c r="F12" s="2">
        <v>1680.99</v>
      </c>
      <c r="I12" t="str">
        <f t="shared" si="0"/>
        <v>11Surly Straggler 650b - 20168420161680.99</v>
      </c>
      <c r="J12" t="str">
        <f t="shared" si="1"/>
        <v>Unique</v>
      </c>
    </row>
    <row r="13" spans="1:10" x14ac:dyDescent="0.35">
      <c r="A13" s="2">
        <v>12</v>
      </c>
      <c r="B13" s="2" t="s">
        <v>17</v>
      </c>
      <c r="C13" s="2">
        <v>1</v>
      </c>
      <c r="D13" s="2">
        <v>3</v>
      </c>
      <c r="E13" s="2">
        <v>2016</v>
      </c>
      <c r="F13" s="2">
        <v>549.99</v>
      </c>
      <c r="I13" t="str">
        <f t="shared" si="0"/>
        <v>12Electra Townie Original 21D - 2016132016549.99</v>
      </c>
      <c r="J13" t="str">
        <f t="shared" si="1"/>
        <v>Unique</v>
      </c>
    </row>
    <row r="14" spans="1:10" x14ac:dyDescent="0.35">
      <c r="A14" s="2">
        <v>13</v>
      </c>
      <c r="B14" s="2" t="s">
        <v>18</v>
      </c>
      <c r="C14" s="2">
        <v>1</v>
      </c>
      <c r="D14" s="2">
        <v>3</v>
      </c>
      <c r="E14" s="2">
        <v>2016</v>
      </c>
      <c r="F14" s="2">
        <v>269.99</v>
      </c>
      <c r="I14" t="str">
        <f t="shared" si="0"/>
        <v>13Electra Cruiser 1 (24-Inch) - 2016132016269.99</v>
      </c>
      <c r="J14" t="str">
        <f t="shared" si="1"/>
        <v>Unique</v>
      </c>
    </row>
    <row r="15" spans="1:10" x14ac:dyDescent="0.35">
      <c r="A15" s="2">
        <v>14</v>
      </c>
      <c r="B15" s="2" t="s">
        <v>19</v>
      </c>
      <c r="C15" s="2">
        <v>1</v>
      </c>
      <c r="D15" s="2">
        <v>3</v>
      </c>
      <c r="E15" s="2">
        <v>2016</v>
      </c>
      <c r="F15" s="2">
        <v>269.99</v>
      </c>
      <c r="I15" t="str">
        <f t="shared" si="0"/>
        <v>14Electra Girl's Hawaii 1 (16-inch) - 2015/2016132016269.99</v>
      </c>
      <c r="J15" t="str">
        <f t="shared" si="1"/>
        <v>Unique</v>
      </c>
    </row>
    <row r="16" spans="1:10" x14ac:dyDescent="0.35">
      <c r="A16" s="2">
        <v>15</v>
      </c>
      <c r="B16" s="2" t="s">
        <v>20</v>
      </c>
      <c r="C16" s="2">
        <v>1</v>
      </c>
      <c r="D16" s="2">
        <v>3</v>
      </c>
      <c r="E16" s="2">
        <v>2016</v>
      </c>
      <c r="F16" s="2">
        <v>529.99</v>
      </c>
      <c r="I16" t="str">
        <f t="shared" si="0"/>
        <v>15Electra Moto 1 - 2016132016529.99</v>
      </c>
      <c r="J16" t="str">
        <f t="shared" si="1"/>
        <v>Unique</v>
      </c>
    </row>
    <row r="17" spans="1:10" x14ac:dyDescent="0.35">
      <c r="A17" s="2">
        <v>16</v>
      </c>
      <c r="B17" s="2" t="s">
        <v>21</v>
      </c>
      <c r="C17" s="2">
        <v>1</v>
      </c>
      <c r="D17" s="2">
        <v>3</v>
      </c>
      <c r="E17" s="2">
        <v>2016</v>
      </c>
      <c r="F17" s="2">
        <v>599.99</v>
      </c>
      <c r="I17" t="str">
        <f t="shared" si="0"/>
        <v>16Electra Townie Original 7D EQ - 2016132016599.99</v>
      </c>
      <c r="J17" t="str">
        <f t="shared" si="1"/>
        <v>Unique</v>
      </c>
    </row>
    <row r="18" spans="1:10" x14ac:dyDescent="0.35">
      <c r="A18" s="2">
        <v>17</v>
      </c>
      <c r="B18" s="2" t="s">
        <v>22</v>
      </c>
      <c r="C18" s="2">
        <v>4</v>
      </c>
      <c r="D18" s="2">
        <v>3</v>
      </c>
      <c r="E18" s="2">
        <v>2016</v>
      </c>
      <c r="F18" s="2">
        <v>429</v>
      </c>
      <c r="I18" t="str">
        <f t="shared" si="0"/>
        <v>17Pure Cycles Vine 8-Speed - 2016432016429</v>
      </c>
      <c r="J18" t="str">
        <f t="shared" si="1"/>
        <v>Unique</v>
      </c>
    </row>
    <row r="19" spans="1:10" x14ac:dyDescent="0.35">
      <c r="A19" s="2">
        <v>18</v>
      </c>
      <c r="B19" s="2" t="s">
        <v>23</v>
      </c>
      <c r="C19" s="2">
        <v>4</v>
      </c>
      <c r="D19" s="2">
        <v>3</v>
      </c>
      <c r="E19" s="2">
        <v>2016</v>
      </c>
      <c r="F19" s="2">
        <v>449</v>
      </c>
      <c r="I19" t="str">
        <f t="shared" si="0"/>
        <v>18Pure Cycles Western 3-Speed - Women's - 2015/2016432016449</v>
      </c>
      <c r="J19" t="str">
        <f t="shared" si="1"/>
        <v>Unique</v>
      </c>
    </row>
    <row r="20" spans="1:10" x14ac:dyDescent="0.35">
      <c r="A20" s="2">
        <v>19</v>
      </c>
      <c r="B20" s="2" t="s">
        <v>24</v>
      </c>
      <c r="C20" s="2">
        <v>4</v>
      </c>
      <c r="D20" s="2">
        <v>3</v>
      </c>
      <c r="E20" s="2">
        <v>2016</v>
      </c>
      <c r="F20" s="2">
        <v>449</v>
      </c>
      <c r="I20" t="str">
        <f t="shared" si="0"/>
        <v>19Pure Cycles William 3-Speed - 2016432016449</v>
      </c>
      <c r="J20" t="str">
        <f t="shared" si="1"/>
        <v>Unique</v>
      </c>
    </row>
    <row r="21" spans="1:10" x14ac:dyDescent="0.35">
      <c r="A21" s="2">
        <v>20</v>
      </c>
      <c r="B21" s="2" t="s">
        <v>25</v>
      </c>
      <c r="C21" s="2">
        <v>1</v>
      </c>
      <c r="D21" s="2">
        <v>3</v>
      </c>
      <c r="E21" s="2">
        <v>2016</v>
      </c>
      <c r="F21" s="2">
        <v>599.99</v>
      </c>
      <c r="I21" t="str">
        <f t="shared" si="0"/>
        <v>20Electra Townie Original 7D EQ - Women's - 2016132016599.99</v>
      </c>
      <c r="J21" t="str">
        <f t="shared" si="1"/>
        <v>Unique</v>
      </c>
    </row>
    <row r="22" spans="1:10" x14ac:dyDescent="0.35">
      <c r="A22" s="2">
        <v>21</v>
      </c>
      <c r="B22" s="2" t="s">
        <v>18</v>
      </c>
      <c r="C22" s="2">
        <v>1</v>
      </c>
      <c r="D22" s="2">
        <v>1</v>
      </c>
      <c r="E22" s="2">
        <v>2016</v>
      </c>
      <c r="F22" s="2">
        <v>269.99</v>
      </c>
      <c r="I22" t="str">
        <f t="shared" si="0"/>
        <v>21Electra Cruiser 1 (24-Inch) - 2016112016269.99</v>
      </c>
      <c r="J22" t="str">
        <f t="shared" si="1"/>
        <v>Unique</v>
      </c>
    </row>
    <row r="23" spans="1:10" x14ac:dyDescent="0.35">
      <c r="A23" s="2">
        <v>22</v>
      </c>
      <c r="B23" s="2" t="s">
        <v>19</v>
      </c>
      <c r="C23" s="2">
        <v>1</v>
      </c>
      <c r="D23" s="2">
        <v>1</v>
      </c>
      <c r="E23" s="2">
        <v>2016</v>
      </c>
      <c r="F23" s="2">
        <v>269.99</v>
      </c>
      <c r="I23" t="str">
        <f t="shared" si="0"/>
        <v>22Electra Girl's Hawaii 1 (16-inch) - 2015/2016112016269.99</v>
      </c>
      <c r="J23" t="str">
        <f t="shared" si="1"/>
        <v>Unique</v>
      </c>
    </row>
    <row r="24" spans="1:10" x14ac:dyDescent="0.35">
      <c r="A24" s="2">
        <v>23</v>
      </c>
      <c r="B24" s="2" t="s">
        <v>26</v>
      </c>
      <c r="C24" s="2">
        <v>1</v>
      </c>
      <c r="D24" s="2">
        <v>1</v>
      </c>
      <c r="E24" s="2">
        <v>2016</v>
      </c>
      <c r="F24" s="2">
        <v>299.99</v>
      </c>
      <c r="I24" t="str">
        <f t="shared" si="0"/>
        <v>23Electra Girl's Hawaii 1 (20-inch) - 2015/2016112016299.99</v>
      </c>
      <c r="J24" t="str">
        <f t="shared" si="1"/>
        <v>Unique</v>
      </c>
    </row>
    <row r="25" spans="1:10" x14ac:dyDescent="0.35">
      <c r="A25" s="2">
        <v>24</v>
      </c>
      <c r="B25" s="2" t="s">
        <v>17</v>
      </c>
      <c r="C25" s="2">
        <v>1</v>
      </c>
      <c r="D25" s="2">
        <v>2</v>
      </c>
      <c r="E25" s="2">
        <v>2016</v>
      </c>
      <c r="F25" s="2">
        <v>549.99</v>
      </c>
      <c r="I25" t="str">
        <f t="shared" si="0"/>
        <v>24Electra Townie Original 21D - 2016122016549.99</v>
      </c>
      <c r="J25" t="str">
        <f t="shared" si="1"/>
        <v>Unique</v>
      </c>
    </row>
    <row r="26" spans="1:10" x14ac:dyDescent="0.35">
      <c r="A26" s="2">
        <v>25</v>
      </c>
      <c r="B26" s="2" t="s">
        <v>27</v>
      </c>
      <c r="C26" s="2">
        <v>1</v>
      </c>
      <c r="D26" s="2">
        <v>2</v>
      </c>
      <c r="E26" s="2">
        <v>2016</v>
      </c>
      <c r="F26" s="2">
        <v>499.99</v>
      </c>
      <c r="I26" t="str">
        <f t="shared" si="0"/>
        <v>25Electra Townie Original 7D - 2015/2016122016499.99</v>
      </c>
      <c r="J26" t="str">
        <f t="shared" si="1"/>
        <v>Unique</v>
      </c>
    </row>
    <row r="27" spans="1:10" x14ac:dyDescent="0.35">
      <c r="A27" s="2">
        <v>26</v>
      </c>
      <c r="B27" s="2" t="s">
        <v>21</v>
      </c>
      <c r="C27" s="2">
        <v>1</v>
      </c>
      <c r="D27" s="2">
        <v>2</v>
      </c>
      <c r="E27" s="2">
        <v>2016</v>
      </c>
      <c r="F27" s="2">
        <v>599.99</v>
      </c>
      <c r="I27" t="str">
        <f t="shared" si="0"/>
        <v>26Electra Townie Original 7D EQ - 2016122016599.99</v>
      </c>
      <c r="J27" t="str">
        <f t="shared" si="1"/>
        <v>Unique</v>
      </c>
    </row>
    <row r="28" spans="1:10" x14ac:dyDescent="0.35">
      <c r="A28" s="2">
        <v>27</v>
      </c>
      <c r="B28" s="2" t="s">
        <v>28</v>
      </c>
      <c r="C28" s="2">
        <v>8</v>
      </c>
      <c r="D28" s="2">
        <v>6</v>
      </c>
      <c r="E28" s="2">
        <v>2017</v>
      </c>
      <c r="F28" s="2">
        <v>999.99</v>
      </c>
      <c r="I28" t="str">
        <f t="shared" si="0"/>
        <v>27Surly Big Dummy Frameset - 2017862017999.99</v>
      </c>
      <c r="J28" t="str">
        <f t="shared" si="1"/>
        <v>Unique</v>
      </c>
    </row>
    <row r="29" spans="1:10" x14ac:dyDescent="0.35">
      <c r="A29" s="2">
        <v>28</v>
      </c>
      <c r="B29" s="2" t="s">
        <v>29</v>
      </c>
      <c r="C29" s="2">
        <v>8</v>
      </c>
      <c r="D29" s="2">
        <v>6</v>
      </c>
      <c r="E29" s="2">
        <v>2017</v>
      </c>
      <c r="F29" s="2">
        <v>2499.9899999999998</v>
      </c>
      <c r="I29" t="str">
        <f t="shared" si="0"/>
        <v>28Surly Karate Monkey 27.5+ Frameset - 20178620172499.99</v>
      </c>
      <c r="J29" t="str">
        <f t="shared" si="1"/>
        <v>Unique</v>
      </c>
    </row>
    <row r="30" spans="1:10" x14ac:dyDescent="0.35">
      <c r="A30" s="2">
        <v>29</v>
      </c>
      <c r="B30" s="2" t="s">
        <v>30</v>
      </c>
      <c r="C30" s="2">
        <v>9</v>
      </c>
      <c r="D30" s="2">
        <v>6</v>
      </c>
      <c r="E30" s="2">
        <v>2017</v>
      </c>
      <c r="F30" s="2">
        <v>999.99</v>
      </c>
      <c r="I30" t="str">
        <f t="shared" si="0"/>
        <v>29Trek X-Caliber 8 - 2017962017999.99</v>
      </c>
      <c r="J30" t="str">
        <f t="shared" si="1"/>
        <v>Unique</v>
      </c>
    </row>
    <row r="31" spans="1:10" x14ac:dyDescent="0.35">
      <c r="A31" s="2">
        <v>30</v>
      </c>
      <c r="B31" s="2" t="s">
        <v>31</v>
      </c>
      <c r="C31" s="2">
        <v>8</v>
      </c>
      <c r="D31" s="2">
        <v>6</v>
      </c>
      <c r="E31" s="2">
        <v>2017</v>
      </c>
      <c r="F31" s="2">
        <v>999.99</v>
      </c>
      <c r="I31" t="str">
        <f t="shared" si="0"/>
        <v>30Surly Ice Cream Truck Frameset - 2017862017999.99</v>
      </c>
      <c r="J31" t="str">
        <f t="shared" si="1"/>
        <v>Unique</v>
      </c>
    </row>
    <row r="32" spans="1:10" x14ac:dyDescent="0.35">
      <c r="A32" s="2">
        <v>31</v>
      </c>
      <c r="B32" s="2" t="s">
        <v>32</v>
      </c>
      <c r="C32" s="2">
        <v>8</v>
      </c>
      <c r="D32" s="2">
        <v>6</v>
      </c>
      <c r="E32" s="2">
        <v>2017</v>
      </c>
      <c r="F32" s="2">
        <v>1632.99</v>
      </c>
      <c r="I32" t="str">
        <f t="shared" si="0"/>
        <v>31Surly Wednesday - 20178620171632.99</v>
      </c>
      <c r="J32" t="str">
        <f t="shared" si="1"/>
        <v>Unique</v>
      </c>
    </row>
    <row r="33" spans="1:10" x14ac:dyDescent="0.35">
      <c r="A33" s="2">
        <v>32</v>
      </c>
      <c r="B33" s="2" t="s">
        <v>33</v>
      </c>
      <c r="C33" s="2">
        <v>9</v>
      </c>
      <c r="D33" s="2">
        <v>6</v>
      </c>
      <c r="E33" s="2">
        <v>2017</v>
      </c>
      <c r="F33" s="2">
        <v>469.99</v>
      </c>
      <c r="I33" t="str">
        <f t="shared" si="0"/>
        <v>32Trek Farley Alloy Frameset - 2017962017469.99</v>
      </c>
      <c r="J33" t="str">
        <f t="shared" si="1"/>
        <v>Unique</v>
      </c>
    </row>
    <row r="34" spans="1:10" x14ac:dyDescent="0.35">
      <c r="A34" s="2">
        <v>33</v>
      </c>
      <c r="B34" s="2" t="s">
        <v>34</v>
      </c>
      <c r="C34" s="2">
        <v>8</v>
      </c>
      <c r="D34" s="2">
        <v>6</v>
      </c>
      <c r="E34" s="2">
        <v>2017</v>
      </c>
      <c r="F34" s="2">
        <v>469.99</v>
      </c>
      <c r="I34" t="str">
        <f t="shared" si="0"/>
        <v>33Surly Wednesday Frameset - 2017862017469.99</v>
      </c>
      <c r="J34" t="str">
        <f t="shared" si="1"/>
        <v>Unique</v>
      </c>
    </row>
    <row r="35" spans="1:10" x14ac:dyDescent="0.35">
      <c r="A35" s="2">
        <v>34</v>
      </c>
      <c r="B35" s="2" t="s">
        <v>35</v>
      </c>
      <c r="C35" s="2">
        <v>9</v>
      </c>
      <c r="D35" s="2">
        <v>6</v>
      </c>
      <c r="E35" s="2">
        <v>2017</v>
      </c>
      <c r="F35" s="2">
        <v>469.99</v>
      </c>
      <c r="I35" t="str">
        <f t="shared" si="0"/>
        <v>34Trek Session DH 27.5 Carbon Frameset - 2017962017469.99</v>
      </c>
      <c r="J35" t="str">
        <f t="shared" si="1"/>
        <v>Unique</v>
      </c>
    </row>
    <row r="36" spans="1:10" x14ac:dyDescent="0.35">
      <c r="A36" s="2">
        <v>35</v>
      </c>
      <c r="B36" s="2" t="s">
        <v>36</v>
      </c>
      <c r="C36" s="2">
        <v>7</v>
      </c>
      <c r="D36" s="2">
        <v>6</v>
      </c>
      <c r="E36" s="2">
        <v>2017</v>
      </c>
      <c r="F36" s="2">
        <v>832.99</v>
      </c>
      <c r="I36" t="str">
        <f t="shared" si="0"/>
        <v>35Sun Bicycles Spider 3i - 2017762017832.99</v>
      </c>
      <c r="J36" t="str">
        <f t="shared" si="1"/>
        <v>Unique</v>
      </c>
    </row>
    <row r="37" spans="1:10" x14ac:dyDescent="0.35">
      <c r="A37" s="2">
        <v>36</v>
      </c>
      <c r="B37" s="2" t="s">
        <v>37</v>
      </c>
      <c r="C37" s="2">
        <v>8</v>
      </c>
      <c r="D37" s="2">
        <v>6</v>
      </c>
      <c r="E37" s="2">
        <v>2017</v>
      </c>
      <c r="F37" s="2">
        <v>832.99</v>
      </c>
      <c r="I37" t="str">
        <f t="shared" si="0"/>
        <v>36Surly Troll Frameset - 2017862017832.99</v>
      </c>
      <c r="J37" t="str">
        <f t="shared" si="1"/>
        <v>Unique</v>
      </c>
    </row>
    <row r="38" spans="1:10" x14ac:dyDescent="0.35">
      <c r="A38" s="2">
        <v>37</v>
      </c>
      <c r="B38" s="2" t="s">
        <v>38</v>
      </c>
      <c r="C38" s="2">
        <v>2</v>
      </c>
      <c r="D38" s="2">
        <v>6</v>
      </c>
      <c r="E38" s="2">
        <v>2017</v>
      </c>
      <c r="F38" s="2">
        <v>379.99</v>
      </c>
      <c r="I38" t="str">
        <f t="shared" si="0"/>
        <v>37Haro Flightline One ST - 2017262017379.99</v>
      </c>
      <c r="J38" t="str">
        <f t="shared" si="1"/>
        <v>Unique</v>
      </c>
    </row>
    <row r="39" spans="1:10" x14ac:dyDescent="0.35">
      <c r="A39" s="2">
        <v>38</v>
      </c>
      <c r="B39" s="2" t="s">
        <v>39</v>
      </c>
      <c r="C39" s="2">
        <v>2</v>
      </c>
      <c r="D39" s="2">
        <v>6</v>
      </c>
      <c r="E39" s="2">
        <v>2017</v>
      </c>
      <c r="F39" s="2">
        <v>549.99</v>
      </c>
      <c r="I39" t="str">
        <f t="shared" si="0"/>
        <v>38Haro Flightline Two 26 Plus - 2017262017549.99</v>
      </c>
      <c r="J39" t="str">
        <f t="shared" si="1"/>
        <v>Unique</v>
      </c>
    </row>
    <row r="40" spans="1:10" x14ac:dyDescent="0.35">
      <c r="A40" s="2">
        <v>39</v>
      </c>
      <c r="B40" s="2" t="s">
        <v>40</v>
      </c>
      <c r="C40" s="2">
        <v>9</v>
      </c>
      <c r="D40" s="2">
        <v>6</v>
      </c>
      <c r="E40" s="2">
        <v>2017</v>
      </c>
      <c r="F40" s="2">
        <v>1499.99</v>
      </c>
      <c r="I40" t="str">
        <f t="shared" si="0"/>
        <v>39Trek Stache 5 - 20179620171499.99</v>
      </c>
      <c r="J40" t="str">
        <f t="shared" si="1"/>
        <v>Unique</v>
      </c>
    </row>
    <row r="41" spans="1:10" x14ac:dyDescent="0.35">
      <c r="A41" s="2">
        <v>40</v>
      </c>
      <c r="B41" s="2" t="s">
        <v>41</v>
      </c>
      <c r="C41" s="2">
        <v>9</v>
      </c>
      <c r="D41" s="2">
        <v>6</v>
      </c>
      <c r="E41" s="2">
        <v>2017</v>
      </c>
      <c r="F41" s="2">
        <v>4999.99</v>
      </c>
      <c r="I41" t="str">
        <f t="shared" si="0"/>
        <v>40Trek Fuel EX 9.8 29 - 20179620174999.99</v>
      </c>
      <c r="J41" t="str">
        <f t="shared" si="1"/>
        <v>Unique</v>
      </c>
    </row>
    <row r="42" spans="1:10" x14ac:dyDescent="0.35">
      <c r="A42" s="2">
        <v>41</v>
      </c>
      <c r="B42" s="2" t="s">
        <v>42</v>
      </c>
      <c r="C42" s="2">
        <v>2</v>
      </c>
      <c r="D42" s="2">
        <v>6</v>
      </c>
      <c r="E42" s="2">
        <v>2017</v>
      </c>
      <c r="F42" s="2">
        <v>1469.99</v>
      </c>
      <c r="I42" t="str">
        <f t="shared" si="0"/>
        <v>41Haro Shift R3 - 20172620171469.99</v>
      </c>
      <c r="J42" t="str">
        <f t="shared" si="1"/>
        <v>Unique</v>
      </c>
    </row>
    <row r="43" spans="1:10" x14ac:dyDescent="0.35">
      <c r="A43" s="2">
        <v>42</v>
      </c>
      <c r="B43" s="2" t="s">
        <v>43</v>
      </c>
      <c r="C43" s="2">
        <v>9</v>
      </c>
      <c r="D43" s="2">
        <v>6</v>
      </c>
      <c r="E43" s="2">
        <v>2017</v>
      </c>
      <c r="F43" s="2">
        <v>2299.9899999999998</v>
      </c>
      <c r="I43" t="str">
        <f t="shared" si="0"/>
        <v>42Trek Fuel EX 5 27.5 Plus - 20179620172299.99</v>
      </c>
      <c r="J43" t="str">
        <f t="shared" si="1"/>
        <v>Unique</v>
      </c>
    </row>
    <row r="44" spans="1:10" x14ac:dyDescent="0.35">
      <c r="A44" s="2">
        <v>43</v>
      </c>
      <c r="B44" s="2" t="s">
        <v>44</v>
      </c>
      <c r="C44" s="2">
        <v>9</v>
      </c>
      <c r="D44" s="2">
        <v>6</v>
      </c>
      <c r="E44" s="2">
        <v>2017</v>
      </c>
      <c r="F44" s="2">
        <v>5299.99</v>
      </c>
      <c r="I44" t="str">
        <f t="shared" si="0"/>
        <v>43Trek Fuel EX 9.8 27.5 Plus - 20179620175299.99</v>
      </c>
      <c r="J44" t="str">
        <f t="shared" si="1"/>
        <v>Unique</v>
      </c>
    </row>
    <row r="45" spans="1:10" x14ac:dyDescent="0.35">
      <c r="A45" s="2">
        <v>44</v>
      </c>
      <c r="B45" s="2" t="s">
        <v>45</v>
      </c>
      <c r="C45" s="2">
        <v>2</v>
      </c>
      <c r="D45" s="2">
        <v>6</v>
      </c>
      <c r="E45" s="2">
        <v>2017</v>
      </c>
      <c r="F45" s="2">
        <v>539.99</v>
      </c>
      <c r="I45" t="str">
        <f t="shared" si="0"/>
        <v>44Haro SR 1.1 - 2017262017539.99</v>
      </c>
      <c r="J45" t="str">
        <f t="shared" si="1"/>
        <v>Unique</v>
      </c>
    </row>
    <row r="46" spans="1:10" x14ac:dyDescent="0.35">
      <c r="A46" s="2">
        <v>45</v>
      </c>
      <c r="B46" s="2" t="s">
        <v>46</v>
      </c>
      <c r="C46" s="2">
        <v>2</v>
      </c>
      <c r="D46" s="2">
        <v>6</v>
      </c>
      <c r="E46" s="2">
        <v>2017</v>
      </c>
      <c r="F46" s="2">
        <v>869.99</v>
      </c>
      <c r="I46" t="str">
        <f t="shared" si="0"/>
        <v>45Haro SR 1.2 - 2017262017869.99</v>
      </c>
      <c r="J46" t="str">
        <f t="shared" si="1"/>
        <v>Unique</v>
      </c>
    </row>
    <row r="47" spans="1:10" x14ac:dyDescent="0.35">
      <c r="A47" s="2">
        <v>46</v>
      </c>
      <c r="B47" s="2" t="s">
        <v>47</v>
      </c>
      <c r="C47" s="2">
        <v>2</v>
      </c>
      <c r="D47" s="2">
        <v>6</v>
      </c>
      <c r="E47" s="2">
        <v>2017</v>
      </c>
      <c r="F47" s="2">
        <v>1409.99</v>
      </c>
      <c r="I47" t="str">
        <f t="shared" si="0"/>
        <v>46Haro SR 1.3 - 20172620171409.99</v>
      </c>
      <c r="J47" t="str">
        <f t="shared" si="1"/>
        <v>Unique</v>
      </c>
    </row>
    <row r="48" spans="1:10" x14ac:dyDescent="0.35">
      <c r="A48" s="2">
        <v>47</v>
      </c>
      <c r="B48" s="2" t="s">
        <v>48</v>
      </c>
      <c r="C48" s="2">
        <v>9</v>
      </c>
      <c r="D48" s="2">
        <v>6</v>
      </c>
      <c r="E48" s="2">
        <v>2017</v>
      </c>
      <c r="F48" s="2">
        <v>5299.99</v>
      </c>
      <c r="I48" t="str">
        <f t="shared" si="0"/>
        <v>47Trek Remedy 9.8 - 20179620175299.99</v>
      </c>
      <c r="J48" t="str">
        <f t="shared" si="1"/>
        <v>Unique</v>
      </c>
    </row>
    <row r="49" spans="1:10" x14ac:dyDescent="0.35">
      <c r="A49" s="2">
        <v>48</v>
      </c>
      <c r="B49" s="2" t="s">
        <v>49</v>
      </c>
      <c r="C49" s="2">
        <v>9</v>
      </c>
      <c r="D49" s="2">
        <v>7</v>
      </c>
      <c r="E49" s="2">
        <v>2017</v>
      </c>
      <c r="F49" s="2">
        <v>1499.99</v>
      </c>
      <c r="I49" t="str">
        <f t="shared" si="0"/>
        <v>48Trek Emonda S 4 - 20179720171499.99</v>
      </c>
      <c r="J49" t="str">
        <f t="shared" si="1"/>
        <v>Unique</v>
      </c>
    </row>
    <row r="50" spans="1:10" x14ac:dyDescent="0.35">
      <c r="A50" s="2">
        <v>49</v>
      </c>
      <c r="B50" s="2" t="s">
        <v>50</v>
      </c>
      <c r="C50" s="2">
        <v>9</v>
      </c>
      <c r="D50" s="2">
        <v>7</v>
      </c>
      <c r="E50" s="2">
        <v>2017</v>
      </c>
      <c r="F50" s="2">
        <v>3499.99</v>
      </c>
      <c r="I50" t="str">
        <f t="shared" si="0"/>
        <v>49Trek Domane SL 6 - 20179720173499.99</v>
      </c>
      <c r="J50" t="str">
        <f t="shared" si="1"/>
        <v>Unique</v>
      </c>
    </row>
    <row r="51" spans="1:10" x14ac:dyDescent="0.35">
      <c r="A51" s="2">
        <v>50</v>
      </c>
      <c r="B51" s="2" t="s">
        <v>51</v>
      </c>
      <c r="C51" s="2">
        <v>9</v>
      </c>
      <c r="D51" s="2">
        <v>7</v>
      </c>
      <c r="E51" s="2">
        <v>2017</v>
      </c>
      <c r="F51" s="2">
        <v>5999.99</v>
      </c>
      <c r="I51" t="str">
        <f t="shared" si="0"/>
        <v>50Trek Silque SLR 7 Women's - 20179720175999.99</v>
      </c>
      <c r="J51" t="str">
        <f t="shared" si="1"/>
        <v>Unique</v>
      </c>
    </row>
    <row r="52" spans="1:10" x14ac:dyDescent="0.35">
      <c r="A52" s="2">
        <v>51</v>
      </c>
      <c r="B52" s="2" t="s">
        <v>52</v>
      </c>
      <c r="C52" s="2">
        <v>9</v>
      </c>
      <c r="D52" s="2">
        <v>7</v>
      </c>
      <c r="E52" s="2">
        <v>2017</v>
      </c>
      <c r="F52" s="2">
        <v>6499.99</v>
      </c>
      <c r="I52" t="str">
        <f t="shared" si="0"/>
        <v>51Trek Silque SLR 8 Women's - 20179720176499.99</v>
      </c>
      <c r="J52" t="str">
        <f t="shared" si="1"/>
        <v>Unique</v>
      </c>
    </row>
    <row r="53" spans="1:10" x14ac:dyDescent="0.35">
      <c r="A53" s="2">
        <v>52</v>
      </c>
      <c r="B53" s="2" t="s">
        <v>53</v>
      </c>
      <c r="C53" s="2">
        <v>8</v>
      </c>
      <c r="D53" s="2">
        <v>7</v>
      </c>
      <c r="E53" s="2">
        <v>2017</v>
      </c>
      <c r="F53" s="2">
        <v>875.99</v>
      </c>
      <c r="I53" t="str">
        <f t="shared" si="0"/>
        <v>52Surly Steamroller - 2017872017875.99</v>
      </c>
      <c r="J53" t="str">
        <f t="shared" si="1"/>
        <v>Unique</v>
      </c>
    </row>
    <row r="54" spans="1:10" x14ac:dyDescent="0.35">
      <c r="A54" s="2">
        <v>53</v>
      </c>
      <c r="B54" s="2" t="s">
        <v>54</v>
      </c>
      <c r="C54" s="2">
        <v>8</v>
      </c>
      <c r="D54" s="2">
        <v>7</v>
      </c>
      <c r="E54" s="2">
        <v>2017</v>
      </c>
      <c r="F54" s="2">
        <v>749.99</v>
      </c>
      <c r="I54" t="str">
        <f t="shared" si="0"/>
        <v>53Surly Ogre Frameset - 2017872017749.99</v>
      </c>
      <c r="J54" t="str">
        <f t="shared" si="1"/>
        <v>Unique</v>
      </c>
    </row>
    <row r="55" spans="1:10" x14ac:dyDescent="0.35">
      <c r="A55" s="2">
        <v>54</v>
      </c>
      <c r="B55" s="2" t="s">
        <v>55</v>
      </c>
      <c r="C55" s="2">
        <v>9</v>
      </c>
      <c r="D55" s="2">
        <v>7</v>
      </c>
      <c r="E55" s="2">
        <v>2017</v>
      </c>
      <c r="F55" s="2">
        <v>3199.99</v>
      </c>
      <c r="I55" t="str">
        <f t="shared" si="0"/>
        <v>54Trek Domane SL Disc Frameset - 20179720173199.99</v>
      </c>
      <c r="J55" t="str">
        <f t="shared" si="1"/>
        <v>Unique</v>
      </c>
    </row>
    <row r="56" spans="1:10" x14ac:dyDescent="0.35">
      <c r="A56" s="2">
        <v>55</v>
      </c>
      <c r="B56" s="2" t="s">
        <v>56</v>
      </c>
      <c r="C56" s="2">
        <v>9</v>
      </c>
      <c r="D56" s="2">
        <v>7</v>
      </c>
      <c r="E56" s="2">
        <v>2017</v>
      </c>
      <c r="F56" s="2">
        <v>2699.99</v>
      </c>
      <c r="I56" t="str">
        <f t="shared" si="0"/>
        <v>55Trek Domane S 6 - 20179720172699.99</v>
      </c>
      <c r="J56" t="str">
        <f t="shared" si="1"/>
        <v>Unique</v>
      </c>
    </row>
    <row r="57" spans="1:10" x14ac:dyDescent="0.35">
      <c r="A57" s="2">
        <v>56</v>
      </c>
      <c r="B57" s="2" t="s">
        <v>57</v>
      </c>
      <c r="C57" s="2">
        <v>9</v>
      </c>
      <c r="D57" s="2">
        <v>7</v>
      </c>
      <c r="E57" s="2">
        <v>2017</v>
      </c>
      <c r="F57" s="2">
        <v>5499.99</v>
      </c>
      <c r="I57" t="str">
        <f t="shared" si="0"/>
        <v>56Trek Domane SLR 6 Disc - 20179720175499.99</v>
      </c>
      <c r="J57" t="str">
        <f t="shared" si="1"/>
        <v>Unique</v>
      </c>
    </row>
    <row r="58" spans="1:10" x14ac:dyDescent="0.35">
      <c r="A58" s="2">
        <v>57</v>
      </c>
      <c r="B58" s="2" t="s">
        <v>58</v>
      </c>
      <c r="C58" s="2">
        <v>9</v>
      </c>
      <c r="D58" s="2">
        <v>7</v>
      </c>
      <c r="E58" s="2">
        <v>2017</v>
      </c>
      <c r="F58" s="2">
        <v>1999.99</v>
      </c>
      <c r="I58" t="str">
        <f t="shared" si="0"/>
        <v>57Trek Emonda S 5 - 20179720171999.99</v>
      </c>
      <c r="J58" t="str">
        <f t="shared" si="1"/>
        <v>Unique</v>
      </c>
    </row>
    <row r="59" spans="1:10" x14ac:dyDescent="0.35">
      <c r="A59" s="2">
        <v>58</v>
      </c>
      <c r="B59" s="2" t="s">
        <v>59</v>
      </c>
      <c r="C59" s="2">
        <v>9</v>
      </c>
      <c r="D59" s="2">
        <v>7</v>
      </c>
      <c r="E59" s="2">
        <v>2017</v>
      </c>
      <c r="F59" s="2">
        <v>4999.99</v>
      </c>
      <c r="I59" t="str">
        <f t="shared" si="0"/>
        <v>58Trek Madone 9.2 - 20179720174999.99</v>
      </c>
      <c r="J59" t="str">
        <f t="shared" si="1"/>
        <v>Unique</v>
      </c>
    </row>
    <row r="60" spans="1:10" x14ac:dyDescent="0.35">
      <c r="A60" s="2">
        <v>59</v>
      </c>
      <c r="B60" s="2" t="s">
        <v>60</v>
      </c>
      <c r="C60" s="2">
        <v>9</v>
      </c>
      <c r="D60" s="2">
        <v>7</v>
      </c>
      <c r="E60" s="2">
        <v>2017</v>
      </c>
      <c r="F60" s="2">
        <v>2599.9899999999998</v>
      </c>
      <c r="I60" t="str">
        <f t="shared" si="0"/>
        <v>59Trek Domane S 5 Disc - 20179720172599.99</v>
      </c>
      <c r="J60" t="str">
        <f t="shared" si="1"/>
        <v>Unique</v>
      </c>
    </row>
    <row r="61" spans="1:10" x14ac:dyDescent="0.35">
      <c r="A61" s="2">
        <v>60</v>
      </c>
      <c r="B61" s="2" t="s">
        <v>61</v>
      </c>
      <c r="C61" s="2">
        <v>7</v>
      </c>
      <c r="D61" s="2">
        <v>5</v>
      </c>
      <c r="E61" s="2">
        <v>2017</v>
      </c>
      <c r="F61" s="2">
        <v>1559.99</v>
      </c>
      <c r="I61" t="str">
        <f t="shared" si="0"/>
        <v>60Sun Bicycles ElectroLite - 20177520171559.99</v>
      </c>
      <c r="J61" t="str">
        <f t="shared" si="1"/>
        <v>Unique</v>
      </c>
    </row>
    <row r="62" spans="1:10" x14ac:dyDescent="0.35">
      <c r="A62" s="2">
        <v>61</v>
      </c>
      <c r="B62" s="2" t="s">
        <v>62</v>
      </c>
      <c r="C62" s="2">
        <v>9</v>
      </c>
      <c r="D62" s="2">
        <v>5</v>
      </c>
      <c r="E62" s="2">
        <v>2017</v>
      </c>
      <c r="F62" s="2">
        <v>4999.99</v>
      </c>
      <c r="I62" t="str">
        <f t="shared" si="0"/>
        <v>61Trek Powerfly 8 FS Plus - 20179520174999.99</v>
      </c>
      <c r="J62" t="str">
        <f t="shared" si="1"/>
        <v>Unique</v>
      </c>
    </row>
    <row r="63" spans="1:10" x14ac:dyDescent="0.35">
      <c r="A63" s="2">
        <v>62</v>
      </c>
      <c r="B63" s="2" t="s">
        <v>63</v>
      </c>
      <c r="C63" s="2">
        <v>9</v>
      </c>
      <c r="D63" s="2">
        <v>4</v>
      </c>
      <c r="E63" s="2">
        <v>2017</v>
      </c>
      <c r="F63" s="2">
        <v>3499.99</v>
      </c>
      <c r="I63" t="str">
        <f t="shared" si="0"/>
        <v>62Trek Boone 7 - 20179420173499.99</v>
      </c>
      <c r="J63" t="str">
        <f t="shared" si="1"/>
        <v>Unique</v>
      </c>
    </row>
    <row r="64" spans="1:10" x14ac:dyDescent="0.35">
      <c r="A64" s="2">
        <v>63</v>
      </c>
      <c r="B64" s="2" t="s">
        <v>64</v>
      </c>
      <c r="C64" s="2">
        <v>9</v>
      </c>
      <c r="D64" s="2">
        <v>4</v>
      </c>
      <c r="E64" s="2">
        <v>2017</v>
      </c>
      <c r="F64" s="2">
        <v>3499.99</v>
      </c>
      <c r="I64" t="str">
        <f t="shared" si="0"/>
        <v>63Trek Boone Race Shop Limited - 20179420173499.99</v>
      </c>
      <c r="J64" t="str">
        <f t="shared" si="1"/>
        <v>Unique</v>
      </c>
    </row>
    <row r="65" spans="1:10" x14ac:dyDescent="0.35">
      <c r="A65" s="2">
        <v>64</v>
      </c>
      <c r="B65" s="2" t="s">
        <v>65</v>
      </c>
      <c r="C65" s="2">
        <v>1</v>
      </c>
      <c r="D65" s="2">
        <v>3</v>
      </c>
      <c r="E65" s="2">
        <v>2017</v>
      </c>
      <c r="F65" s="2">
        <v>489.99</v>
      </c>
      <c r="I65" t="str">
        <f t="shared" si="0"/>
        <v>64Electra Townie Original 7D - 2017132017489.99</v>
      </c>
      <c r="J65" t="str">
        <f t="shared" si="1"/>
        <v>Unique</v>
      </c>
    </row>
    <row r="66" spans="1:10" x14ac:dyDescent="0.35">
      <c r="A66" s="2">
        <v>65</v>
      </c>
      <c r="B66" s="2" t="s">
        <v>66</v>
      </c>
      <c r="C66" s="2">
        <v>7</v>
      </c>
      <c r="D66" s="2">
        <v>3</v>
      </c>
      <c r="E66" s="2">
        <v>2017</v>
      </c>
      <c r="F66" s="2">
        <v>346.99</v>
      </c>
      <c r="I66" t="str">
        <f t="shared" si="0"/>
        <v>65Sun Bicycles Lil Bolt Type-R - 2017732017346.99</v>
      </c>
      <c r="J66" t="str">
        <f t="shared" si="1"/>
        <v>Unique</v>
      </c>
    </row>
    <row r="67" spans="1:10" x14ac:dyDescent="0.35">
      <c r="A67" s="2">
        <v>66</v>
      </c>
      <c r="B67" s="2" t="s">
        <v>67</v>
      </c>
      <c r="C67" s="2">
        <v>7</v>
      </c>
      <c r="D67" s="2">
        <v>3</v>
      </c>
      <c r="E67" s="2">
        <v>2017</v>
      </c>
      <c r="F67" s="2">
        <v>250.99</v>
      </c>
      <c r="I67" t="str">
        <f t="shared" ref="I67:I130" si="2">A67&amp;B67&amp;C67&amp;D67&amp;E67&amp;F67</f>
        <v>66Sun Bicycles Revolutions 24 - 2017732017250.99</v>
      </c>
      <c r="J67" t="str">
        <f t="shared" ref="J67:J130" si="3">IF(COUNTIF($I$2:$I$322,I67)&gt;1,"Duplicate","Unique")</f>
        <v>Unique</v>
      </c>
    </row>
    <row r="68" spans="1:10" x14ac:dyDescent="0.35">
      <c r="A68" s="2">
        <v>67</v>
      </c>
      <c r="B68" s="2" t="s">
        <v>68</v>
      </c>
      <c r="C68" s="2">
        <v>7</v>
      </c>
      <c r="D68" s="2">
        <v>3</v>
      </c>
      <c r="E68" s="2">
        <v>2017</v>
      </c>
      <c r="F68" s="2">
        <v>250.99</v>
      </c>
      <c r="I68" t="str">
        <f t="shared" si="2"/>
        <v>67Sun Bicycles Revolutions 24 - Girl's - 2017732017250.99</v>
      </c>
      <c r="J68" t="str">
        <f t="shared" si="3"/>
        <v>Unique</v>
      </c>
    </row>
    <row r="69" spans="1:10" x14ac:dyDescent="0.35">
      <c r="A69" s="2">
        <v>68</v>
      </c>
      <c r="B69" s="2" t="s">
        <v>69</v>
      </c>
      <c r="C69" s="2">
        <v>7</v>
      </c>
      <c r="D69" s="2">
        <v>3</v>
      </c>
      <c r="E69" s="2">
        <v>2017</v>
      </c>
      <c r="F69" s="2">
        <v>449.99</v>
      </c>
      <c r="I69" t="str">
        <f t="shared" si="2"/>
        <v>68Sun Bicycles Cruz 3 - 2017732017449.99</v>
      </c>
      <c r="J69" t="str">
        <f t="shared" si="3"/>
        <v>Unique</v>
      </c>
    </row>
    <row r="70" spans="1:10" x14ac:dyDescent="0.35">
      <c r="A70" s="2">
        <v>69</v>
      </c>
      <c r="B70" s="2" t="s">
        <v>70</v>
      </c>
      <c r="C70" s="2">
        <v>7</v>
      </c>
      <c r="D70" s="2">
        <v>3</v>
      </c>
      <c r="E70" s="2">
        <v>2017</v>
      </c>
      <c r="F70" s="2">
        <v>416.99</v>
      </c>
      <c r="I70" t="str">
        <f t="shared" si="2"/>
        <v>69Sun Bicycles Cruz 7 - 2017732017416.99</v>
      </c>
      <c r="J70" t="str">
        <f t="shared" si="3"/>
        <v>Unique</v>
      </c>
    </row>
    <row r="71" spans="1:10" x14ac:dyDescent="0.35">
      <c r="A71" s="2">
        <v>70</v>
      </c>
      <c r="B71" s="2" t="s">
        <v>71</v>
      </c>
      <c r="C71" s="2">
        <v>1</v>
      </c>
      <c r="D71" s="2">
        <v>3</v>
      </c>
      <c r="E71" s="2">
        <v>2017</v>
      </c>
      <c r="F71" s="2">
        <v>659.99</v>
      </c>
      <c r="I71" t="str">
        <f t="shared" si="2"/>
        <v>70Electra Amsterdam Original 3i - 2015/2017132017659.99</v>
      </c>
      <c r="J71" t="str">
        <f t="shared" si="3"/>
        <v>Unique</v>
      </c>
    </row>
    <row r="72" spans="1:10" x14ac:dyDescent="0.35">
      <c r="A72" s="2">
        <v>71</v>
      </c>
      <c r="B72" s="2" t="s">
        <v>72</v>
      </c>
      <c r="C72" s="2">
        <v>7</v>
      </c>
      <c r="D72" s="2">
        <v>3</v>
      </c>
      <c r="E72" s="2">
        <v>2017</v>
      </c>
      <c r="F72" s="2">
        <v>416.99</v>
      </c>
      <c r="I72" t="str">
        <f t="shared" si="2"/>
        <v>71Sun Bicycles Atlas X-Type - 2017732017416.99</v>
      </c>
      <c r="J72" t="str">
        <f t="shared" si="3"/>
        <v>Unique</v>
      </c>
    </row>
    <row r="73" spans="1:10" x14ac:dyDescent="0.35">
      <c r="A73" s="2">
        <v>72</v>
      </c>
      <c r="B73" s="2" t="s">
        <v>73</v>
      </c>
      <c r="C73" s="2">
        <v>7</v>
      </c>
      <c r="D73" s="2">
        <v>3</v>
      </c>
      <c r="E73" s="2">
        <v>2017</v>
      </c>
      <c r="F73" s="2">
        <v>619.99</v>
      </c>
      <c r="I73" t="str">
        <f t="shared" si="2"/>
        <v>72Sun Bicycles Biscayne Tandem 7 - 2017732017619.99</v>
      </c>
      <c r="J73" t="str">
        <f t="shared" si="3"/>
        <v>Unique</v>
      </c>
    </row>
    <row r="74" spans="1:10" x14ac:dyDescent="0.35">
      <c r="A74" s="2">
        <v>73</v>
      </c>
      <c r="B74" s="2" t="s">
        <v>74</v>
      </c>
      <c r="C74" s="2">
        <v>7</v>
      </c>
      <c r="D74" s="2">
        <v>3</v>
      </c>
      <c r="E74" s="2">
        <v>2017</v>
      </c>
      <c r="F74" s="2">
        <v>749.99</v>
      </c>
      <c r="I74" t="str">
        <f t="shared" si="2"/>
        <v>73Sun Bicycles Brickell Tandem 7 - 2017732017749.99</v>
      </c>
      <c r="J74" t="str">
        <f t="shared" si="3"/>
        <v>Unique</v>
      </c>
    </row>
    <row r="75" spans="1:10" x14ac:dyDescent="0.35">
      <c r="A75" s="2">
        <v>74</v>
      </c>
      <c r="B75" s="2" t="s">
        <v>75</v>
      </c>
      <c r="C75" s="2">
        <v>1</v>
      </c>
      <c r="D75" s="2">
        <v>3</v>
      </c>
      <c r="E75" s="2">
        <v>2017</v>
      </c>
      <c r="F75" s="2">
        <v>439.99</v>
      </c>
      <c r="I75" t="str">
        <f t="shared" si="2"/>
        <v>74Electra Cruiser Lux 1 - 2017132017439.99</v>
      </c>
      <c r="J75" t="str">
        <f t="shared" si="3"/>
        <v>Unique</v>
      </c>
    </row>
    <row r="76" spans="1:10" x14ac:dyDescent="0.35">
      <c r="A76" s="2">
        <v>75</v>
      </c>
      <c r="B76" s="2" t="s">
        <v>76</v>
      </c>
      <c r="C76" s="2">
        <v>1</v>
      </c>
      <c r="D76" s="2">
        <v>3</v>
      </c>
      <c r="E76" s="2">
        <v>2017</v>
      </c>
      <c r="F76" s="2">
        <v>599.99</v>
      </c>
      <c r="I76" t="str">
        <f t="shared" si="2"/>
        <v>75Electra Cruiser Lux Fat Tire 1 Ladies - 2017132017599.99</v>
      </c>
      <c r="J76" t="str">
        <f t="shared" si="3"/>
        <v>Unique</v>
      </c>
    </row>
    <row r="77" spans="1:10" x14ac:dyDescent="0.35">
      <c r="A77" s="2">
        <v>76</v>
      </c>
      <c r="B77" s="2" t="s">
        <v>77</v>
      </c>
      <c r="C77" s="2">
        <v>1</v>
      </c>
      <c r="D77" s="2">
        <v>3</v>
      </c>
      <c r="E77" s="2">
        <v>2017</v>
      </c>
      <c r="F77" s="2">
        <v>299.99</v>
      </c>
      <c r="I77" t="str">
        <f t="shared" si="2"/>
        <v>76Electra Girl's Hawaii 1 16" - 2017132017299.99</v>
      </c>
      <c r="J77" t="str">
        <f t="shared" si="3"/>
        <v>Unique</v>
      </c>
    </row>
    <row r="78" spans="1:10" x14ac:dyDescent="0.35">
      <c r="A78" s="2">
        <v>77</v>
      </c>
      <c r="B78" s="2" t="s">
        <v>78</v>
      </c>
      <c r="C78" s="2">
        <v>1</v>
      </c>
      <c r="D78" s="2">
        <v>3</v>
      </c>
      <c r="E78" s="2">
        <v>2017</v>
      </c>
      <c r="F78" s="2">
        <v>799.99</v>
      </c>
      <c r="I78" t="str">
        <f t="shared" si="2"/>
        <v>77Electra Glam Punk 3i Ladies' - 2017132017799.99</v>
      </c>
      <c r="J78" t="str">
        <f t="shared" si="3"/>
        <v>Unique</v>
      </c>
    </row>
    <row r="79" spans="1:10" x14ac:dyDescent="0.35">
      <c r="A79" s="2">
        <v>78</v>
      </c>
      <c r="B79" s="2" t="s">
        <v>79</v>
      </c>
      <c r="C79" s="2">
        <v>7</v>
      </c>
      <c r="D79" s="2">
        <v>3</v>
      </c>
      <c r="E79" s="2">
        <v>2017</v>
      </c>
      <c r="F79" s="2">
        <v>647.99</v>
      </c>
      <c r="I79" t="str">
        <f t="shared" si="2"/>
        <v>78Sun Bicycles Biscayne Tandem CB - 2017732017647.99</v>
      </c>
      <c r="J79" t="str">
        <f t="shared" si="3"/>
        <v>Unique</v>
      </c>
    </row>
    <row r="80" spans="1:10" x14ac:dyDescent="0.35">
      <c r="A80" s="2">
        <v>79</v>
      </c>
      <c r="B80" s="2" t="s">
        <v>80</v>
      </c>
      <c r="C80" s="2">
        <v>7</v>
      </c>
      <c r="D80" s="2">
        <v>3</v>
      </c>
      <c r="E80" s="2">
        <v>2017</v>
      </c>
      <c r="F80" s="2">
        <v>402.99</v>
      </c>
      <c r="I80" t="str">
        <f t="shared" si="2"/>
        <v>79Sun Bicycles Boardwalk (24-inch Wheels) - 2017732017402.99</v>
      </c>
      <c r="J80" t="str">
        <f t="shared" si="3"/>
        <v>Unique</v>
      </c>
    </row>
    <row r="81" spans="1:10" x14ac:dyDescent="0.35">
      <c r="A81" s="2">
        <v>80</v>
      </c>
      <c r="B81" s="2" t="s">
        <v>81</v>
      </c>
      <c r="C81" s="2">
        <v>7</v>
      </c>
      <c r="D81" s="2">
        <v>3</v>
      </c>
      <c r="E81" s="2">
        <v>2017</v>
      </c>
      <c r="F81" s="2">
        <v>761.99</v>
      </c>
      <c r="I81" t="str">
        <f t="shared" si="2"/>
        <v>80Sun Bicycles Brickell Tandem CB - 2017732017761.99</v>
      </c>
      <c r="J81" t="str">
        <f t="shared" si="3"/>
        <v>Unique</v>
      </c>
    </row>
    <row r="82" spans="1:10" x14ac:dyDescent="0.35">
      <c r="A82" s="2">
        <v>81</v>
      </c>
      <c r="B82" s="2" t="s">
        <v>82</v>
      </c>
      <c r="C82" s="2">
        <v>1</v>
      </c>
      <c r="D82" s="2">
        <v>3</v>
      </c>
      <c r="E82" s="2">
        <v>2017</v>
      </c>
      <c r="F82" s="2">
        <v>1099.99</v>
      </c>
      <c r="I82" t="str">
        <f t="shared" si="2"/>
        <v>81Electra Amsterdam Fashion 7i Ladies' - 20171320171099.99</v>
      </c>
      <c r="J82" t="str">
        <f t="shared" si="3"/>
        <v>Unique</v>
      </c>
    </row>
    <row r="83" spans="1:10" x14ac:dyDescent="0.35">
      <c r="A83" s="2">
        <v>82</v>
      </c>
      <c r="B83" s="2" t="s">
        <v>83</v>
      </c>
      <c r="C83" s="2">
        <v>1</v>
      </c>
      <c r="D83" s="2">
        <v>3</v>
      </c>
      <c r="E83" s="2">
        <v>2017</v>
      </c>
      <c r="F83" s="2">
        <v>659.99</v>
      </c>
      <c r="I83" t="str">
        <f t="shared" si="2"/>
        <v>82Electra Amsterdam Original 3i Ladies' - 2017132017659.99</v>
      </c>
      <c r="J83" t="str">
        <f t="shared" si="3"/>
        <v>Unique</v>
      </c>
    </row>
    <row r="84" spans="1:10" x14ac:dyDescent="0.35">
      <c r="A84" s="2">
        <v>83</v>
      </c>
      <c r="B84" s="2" t="s">
        <v>84</v>
      </c>
      <c r="C84" s="2">
        <v>9</v>
      </c>
      <c r="D84" s="2">
        <v>1</v>
      </c>
      <c r="E84" s="2">
        <v>2017</v>
      </c>
      <c r="F84" s="2">
        <v>149.99</v>
      </c>
      <c r="I84" t="str">
        <f t="shared" si="2"/>
        <v>83Trek Boy's Kickster - 2015/2017912017149.99</v>
      </c>
      <c r="J84" t="str">
        <f t="shared" si="3"/>
        <v>Unique</v>
      </c>
    </row>
    <row r="85" spans="1:10" x14ac:dyDescent="0.35">
      <c r="A85" s="2">
        <v>84</v>
      </c>
      <c r="B85" s="2" t="s">
        <v>85</v>
      </c>
      <c r="C85" s="2">
        <v>7</v>
      </c>
      <c r="D85" s="2">
        <v>1</v>
      </c>
      <c r="E85" s="2">
        <v>2017</v>
      </c>
      <c r="F85" s="2">
        <v>109.99</v>
      </c>
      <c r="I85" t="str">
        <f t="shared" si="2"/>
        <v>84Sun Bicycles Lil Kitt'n - 2017712017109.99</v>
      </c>
      <c r="J85" t="str">
        <f t="shared" si="3"/>
        <v>Unique</v>
      </c>
    </row>
    <row r="86" spans="1:10" x14ac:dyDescent="0.35">
      <c r="A86" s="2">
        <v>85</v>
      </c>
      <c r="B86" s="2" t="s">
        <v>86</v>
      </c>
      <c r="C86" s="2">
        <v>2</v>
      </c>
      <c r="D86" s="2">
        <v>1</v>
      </c>
      <c r="E86" s="2">
        <v>2017</v>
      </c>
      <c r="F86" s="2">
        <v>329.99</v>
      </c>
      <c r="I86" t="str">
        <f t="shared" si="2"/>
        <v>85Haro Downtown 16 - 2017212017329.99</v>
      </c>
      <c r="J86" t="str">
        <f t="shared" si="3"/>
        <v>Unique</v>
      </c>
    </row>
    <row r="87" spans="1:10" x14ac:dyDescent="0.35">
      <c r="A87" s="2">
        <v>86</v>
      </c>
      <c r="B87" s="2" t="s">
        <v>87</v>
      </c>
      <c r="C87" s="2">
        <v>9</v>
      </c>
      <c r="D87" s="2">
        <v>1</v>
      </c>
      <c r="E87" s="2">
        <v>2017</v>
      </c>
      <c r="F87" s="2">
        <v>149.99</v>
      </c>
      <c r="I87" t="str">
        <f t="shared" si="2"/>
        <v>86Trek Girl's Kickster - 2017912017149.99</v>
      </c>
      <c r="J87" t="str">
        <f t="shared" si="3"/>
        <v>Unique</v>
      </c>
    </row>
    <row r="88" spans="1:10" x14ac:dyDescent="0.35">
      <c r="A88" s="2">
        <v>87</v>
      </c>
      <c r="B88" s="2" t="s">
        <v>88</v>
      </c>
      <c r="C88" s="2">
        <v>9</v>
      </c>
      <c r="D88" s="2">
        <v>1</v>
      </c>
      <c r="E88" s="2">
        <v>2017</v>
      </c>
      <c r="F88" s="2">
        <v>189.99</v>
      </c>
      <c r="I88" t="str">
        <f t="shared" si="2"/>
        <v>87Trek Precaliber 12 Boys - 2017912017189.99</v>
      </c>
      <c r="J88" t="str">
        <f t="shared" si="3"/>
        <v>Unique</v>
      </c>
    </row>
    <row r="89" spans="1:10" x14ac:dyDescent="0.35">
      <c r="A89" s="2">
        <v>88</v>
      </c>
      <c r="B89" s="2" t="s">
        <v>89</v>
      </c>
      <c r="C89" s="2">
        <v>9</v>
      </c>
      <c r="D89" s="2">
        <v>1</v>
      </c>
      <c r="E89" s="2">
        <v>2017</v>
      </c>
      <c r="F89" s="2">
        <v>189.99</v>
      </c>
      <c r="I89" t="str">
        <f t="shared" si="2"/>
        <v>88Trek Precaliber 12 Girls - 2017912017189.99</v>
      </c>
      <c r="J89" t="str">
        <f t="shared" si="3"/>
        <v>Unique</v>
      </c>
    </row>
    <row r="90" spans="1:10" x14ac:dyDescent="0.35">
      <c r="A90" s="2">
        <v>89</v>
      </c>
      <c r="B90" s="2" t="s">
        <v>90</v>
      </c>
      <c r="C90" s="2">
        <v>9</v>
      </c>
      <c r="D90" s="2">
        <v>1</v>
      </c>
      <c r="E90" s="2">
        <v>2017</v>
      </c>
      <c r="F90" s="2">
        <v>209.99</v>
      </c>
      <c r="I90" t="str">
        <f t="shared" si="2"/>
        <v>89Trek Precaliber 16 Boys - 2017912017209.99</v>
      </c>
      <c r="J90" t="str">
        <f t="shared" si="3"/>
        <v>Unique</v>
      </c>
    </row>
    <row r="91" spans="1:10" x14ac:dyDescent="0.35">
      <c r="A91" s="2">
        <v>90</v>
      </c>
      <c r="B91" s="2" t="s">
        <v>91</v>
      </c>
      <c r="C91" s="2">
        <v>9</v>
      </c>
      <c r="D91" s="2">
        <v>1</v>
      </c>
      <c r="E91" s="2">
        <v>2017</v>
      </c>
      <c r="F91" s="2">
        <v>209.99</v>
      </c>
      <c r="I91" t="str">
        <f t="shared" si="2"/>
        <v>90Trek Precaliber 16 Girls - 2017912017209.99</v>
      </c>
      <c r="J91" t="str">
        <f t="shared" si="3"/>
        <v>Unique</v>
      </c>
    </row>
    <row r="92" spans="1:10" x14ac:dyDescent="0.35">
      <c r="A92" s="2">
        <v>91</v>
      </c>
      <c r="B92" s="2" t="s">
        <v>92</v>
      </c>
      <c r="C92" s="2">
        <v>9</v>
      </c>
      <c r="D92" s="2">
        <v>1</v>
      </c>
      <c r="E92" s="2">
        <v>2017</v>
      </c>
      <c r="F92" s="2">
        <v>349.99</v>
      </c>
      <c r="I92" t="str">
        <f t="shared" si="2"/>
        <v>91Trek Precaliber 24 (21-Speed) - Girls - 2017912017349.99</v>
      </c>
      <c r="J92" t="str">
        <f t="shared" si="3"/>
        <v>Unique</v>
      </c>
    </row>
    <row r="93" spans="1:10" x14ac:dyDescent="0.35">
      <c r="A93" s="2">
        <v>92</v>
      </c>
      <c r="B93" s="2" t="s">
        <v>93</v>
      </c>
      <c r="C93" s="2">
        <v>2</v>
      </c>
      <c r="D93" s="2">
        <v>1</v>
      </c>
      <c r="E93" s="2">
        <v>2017</v>
      </c>
      <c r="F93" s="2">
        <v>209.99</v>
      </c>
      <c r="I93" t="str">
        <f t="shared" si="2"/>
        <v>92Haro Shredder 20 - 2017212017209.99</v>
      </c>
      <c r="J93" t="str">
        <f t="shared" si="3"/>
        <v>Unique</v>
      </c>
    </row>
    <row r="94" spans="1:10" x14ac:dyDescent="0.35">
      <c r="A94" s="2">
        <v>93</v>
      </c>
      <c r="B94" s="2" t="s">
        <v>94</v>
      </c>
      <c r="C94" s="2">
        <v>2</v>
      </c>
      <c r="D94" s="2">
        <v>1</v>
      </c>
      <c r="E94" s="2">
        <v>2017</v>
      </c>
      <c r="F94" s="2">
        <v>209.99</v>
      </c>
      <c r="I94" t="str">
        <f t="shared" si="2"/>
        <v>93Haro Shredder 20 Girls - 2017212017209.99</v>
      </c>
      <c r="J94" t="str">
        <f t="shared" si="3"/>
        <v>Unique</v>
      </c>
    </row>
    <row r="95" spans="1:10" x14ac:dyDescent="0.35">
      <c r="A95" s="2">
        <v>94</v>
      </c>
      <c r="B95" s="2" t="s">
        <v>95</v>
      </c>
      <c r="C95" s="2">
        <v>2</v>
      </c>
      <c r="D95" s="2">
        <v>1</v>
      </c>
      <c r="E95" s="2">
        <v>2017</v>
      </c>
      <c r="F95" s="2">
        <v>249.99</v>
      </c>
      <c r="I95" t="str">
        <f t="shared" si="2"/>
        <v>94Haro Shredder Pro 20 - 2017212017249.99</v>
      </c>
      <c r="J95" t="str">
        <f t="shared" si="3"/>
        <v>Unique</v>
      </c>
    </row>
    <row r="96" spans="1:10" x14ac:dyDescent="0.35">
      <c r="A96" s="2">
        <v>95</v>
      </c>
      <c r="B96" s="2" t="s">
        <v>77</v>
      </c>
      <c r="C96" s="2">
        <v>1</v>
      </c>
      <c r="D96" s="2">
        <v>1</v>
      </c>
      <c r="E96" s="2">
        <v>2017</v>
      </c>
      <c r="F96" s="2">
        <v>299.99</v>
      </c>
      <c r="I96" t="str">
        <f t="shared" si="2"/>
        <v>95Electra Girl's Hawaii 1 16" - 2017112017299.99</v>
      </c>
      <c r="J96" t="str">
        <f t="shared" si="3"/>
        <v>Unique</v>
      </c>
    </row>
    <row r="97" spans="1:10" x14ac:dyDescent="0.35">
      <c r="A97" s="2">
        <v>96</v>
      </c>
      <c r="B97" s="2" t="s">
        <v>96</v>
      </c>
      <c r="C97" s="2">
        <v>1</v>
      </c>
      <c r="D97" s="2">
        <v>1</v>
      </c>
      <c r="E97" s="2">
        <v>2017</v>
      </c>
      <c r="F97" s="2">
        <v>349.99</v>
      </c>
      <c r="I97" t="str">
        <f t="shared" si="2"/>
        <v>96Electra Moto 3i (20-inch) - Boy's - 2017112017349.99</v>
      </c>
      <c r="J97" t="str">
        <f t="shared" si="3"/>
        <v>Unique</v>
      </c>
    </row>
    <row r="98" spans="1:10" x14ac:dyDescent="0.35">
      <c r="A98" s="2">
        <v>97</v>
      </c>
      <c r="B98" s="2" t="s">
        <v>97</v>
      </c>
      <c r="C98" s="2">
        <v>1</v>
      </c>
      <c r="D98" s="2">
        <v>1</v>
      </c>
      <c r="E98" s="2">
        <v>2017</v>
      </c>
      <c r="F98" s="2">
        <v>349.99</v>
      </c>
      <c r="I98" t="str">
        <f t="shared" si="2"/>
        <v>97Electra Savannah 3i (20-inch) - Girl's - 2017112017349.99</v>
      </c>
      <c r="J98" t="str">
        <f t="shared" si="3"/>
        <v>Unique</v>
      </c>
    </row>
    <row r="99" spans="1:10" x14ac:dyDescent="0.35">
      <c r="A99" s="2">
        <v>98</v>
      </c>
      <c r="B99" s="2" t="s">
        <v>98</v>
      </c>
      <c r="C99" s="2">
        <v>1</v>
      </c>
      <c r="D99" s="2">
        <v>1</v>
      </c>
      <c r="E99" s="2">
        <v>2017</v>
      </c>
      <c r="F99" s="2">
        <v>489.99</v>
      </c>
      <c r="I99" t="str">
        <f t="shared" si="2"/>
        <v>98Electra Straight 8 3i (20-inch) - Boy's - 2017112017489.99</v>
      </c>
      <c r="J99" t="str">
        <f t="shared" si="3"/>
        <v>Unique</v>
      </c>
    </row>
    <row r="100" spans="1:10" x14ac:dyDescent="0.35">
      <c r="A100" s="2">
        <v>99</v>
      </c>
      <c r="B100" s="2" t="s">
        <v>99</v>
      </c>
      <c r="C100" s="2">
        <v>1</v>
      </c>
      <c r="D100" s="2">
        <v>1</v>
      </c>
      <c r="E100" s="2">
        <v>2017</v>
      </c>
      <c r="F100" s="2">
        <v>299.99</v>
      </c>
      <c r="I100" t="str">
        <f t="shared" si="2"/>
        <v>99Electra Sugar Skulls 1 (20-inch) - Girl's - 2017112017299.99</v>
      </c>
      <c r="J100" t="str">
        <f t="shared" si="3"/>
        <v>Unique</v>
      </c>
    </row>
    <row r="101" spans="1:10" x14ac:dyDescent="0.35">
      <c r="A101" s="2">
        <v>100</v>
      </c>
      <c r="B101" s="2" t="s">
        <v>100</v>
      </c>
      <c r="C101" s="2">
        <v>1</v>
      </c>
      <c r="D101" s="2">
        <v>1</v>
      </c>
      <c r="E101" s="2">
        <v>2017</v>
      </c>
      <c r="F101" s="2">
        <v>489.99</v>
      </c>
      <c r="I101" t="str">
        <f t="shared" si="2"/>
        <v>100Electra Townie 3i EQ (20-inch) - Boys' - 2017112017489.99</v>
      </c>
      <c r="J101" t="str">
        <f t="shared" si="3"/>
        <v>Unique</v>
      </c>
    </row>
    <row r="102" spans="1:10" x14ac:dyDescent="0.35">
      <c r="A102" s="2">
        <v>101</v>
      </c>
      <c r="B102" s="2" t="s">
        <v>101</v>
      </c>
      <c r="C102" s="2">
        <v>1</v>
      </c>
      <c r="D102" s="2">
        <v>1</v>
      </c>
      <c r="E102" s="2">
        <v>2017</v>
      </c>
      <c r="F102" s="2">
        <v>339.99</v>
      </c>
      <c r="I102" t="str">
        <f t="shared" si="2"/>
        <v>101Electra Townie 7D (20-inch) - Boys' - 2017112017339.99</v>
      </c>
      <c r="J102" t="str">
        <f t="shared" si="3"/>
        <v>Unique</v>
      </c>
    </row>
    <row r="103" spans="1:10" x14ac:dyDescent="0.35">
      <c r="A103" s="2">
        <v>102</v>
      </c>
      <c r="B103" s="2" t="s">
        <v>65</v>
      </c>
      <c r="C103" s="2">
        <v>1</v>
      </c>
      <c r="D103" s="2">
        <v>2</v>
      </c>
      <c r="E103" s="2">
        <v>2017</v>
      </c>
      <c r="F103" s="2">
        <v>489.99</v>
      </c>
      <c r="I103" t="str">
        <f t="shared" si="2"/>
        <v>102Electra Townie Original 7D - 2017122017489.99</v>
      </c>
      <c r="J103" t="str">
        <f t="shared" si="3"/>
        <v>Unique</v>
      </c>
    </row>
    <row r="104" spans="1:10" x14ac:dyDescent="0.35">
      <c r="A104" s="2">
        <v>103</v>
      </c>
      <c r="B104" s="2" t="s">
        <v>102</v>
      </c>
      <c r="C104" s="2">
        <v>7</v>
      </c>
      <c r="D104" s="2">
        <v>2</v>
      </c>
      <c r="E104" s="2">
        <v>2017</v>
      </c>
      <c r="F104" s="2">
        <v>551.99</v>
      </c>
      <c r="I104" t="str">
        <f t="shared" si="2"/>
        <v>103Sun Bicycles Streamway 3 - 2017722017551.99</v>
      </c>
      <c r="J104" t="str">
        <f t="shared" si="3"/>
        <v>Unique</v>
      </c>
    </row>
    <row r="105" spans="1:10" x14ac:dyDescent="0.35">
      <c r="A105" s="2">
        <v>104</v>
      </c>
      <c r="B105" s="2" t="s">
        <v>103</v>
      </c>
      <c r="C105" s="2">
        <v>7</v>
      </c>
      <c r="D105" s="2">
        <v>2</v>
      </c>
      <c r="E105" s="2">
        <v>2017</v>
      </c>
      <c r="F105" s="2">
        <v>481.99</v>
      </c>
      <c r="I105" t="str">
        <f t="shared" si="2"/>
        <v>104Sun Bicycles Streamway - 2017722017481.99</v>
      </c>
      <c r="J105" t="str">
        <f t="shared" si="3"/>
        <v>Unique</v>
      </c>
    </row>
    <row r="106" spans="1:10" x14ac:dyDescent="0.35">
      <c r="A106" s="2">
        <v>105</v>
      </c>
      <c r="B106" s="2" t="s">
        <v>104</v>
      </c>
      <c r="C106" s="2">
        <v>7</v>
      </c>
      <c r="D106" s="2">
        <v>2</v>
      </c>
      <c r="E106" s="2">
        <v>2017</v>
      </c>
      <c r="F106" s="2">
        <v>533.99</v>
      </c>
      <c r="I106" t="str">
        <f t="shared" si="2"/>
        <v>105Sun Bicycles Streamway 7 - 2017722017533.99</v>
      </c>
      <c r="J106" t="str">
        <f t="shared" si="3"/>
        <v>Unique</v>
      </c>
    </row>
    <row r="107" spans="1:10" x14ac:dyDescent="0.35">
      <c r="A107" s="2">
        <v>106</v>
      </c>
      <c r="B107" s="2" t="s">
        <v>69</v>
      </c>
      <c r="C107" s="2">
        <v>7</v>
      </c>
      <c r="D107" s="2">
        <v>2</v>
      </c>
      <c r="E107" s="2">
        <v>2017</v>
      </c>
      <c r="F107" s="2">
        <v>449.99</v>
      </c>
      <c r="I107" t="str">
        <f t="shared" si="2"/>
        <v>106Sun Bicycles Cruz 3 - 2017722017449.99</v>
      </c>
      <c r="J107" t="str">
        <f t="shared" si="3"/>
        <v>Unique</v>
      </c>
    </row>
    <row r="108" spans="1:10" x14ac:dyDescent="0.35">
      <c r="A108" s="2">
        <v>107</v>
      </c>
      <c r="B108" s="2" t="s">
        <v>70</v>
      </c>
      <c r="C108" s="2">
        <v>7</v>
      </c>
      <c r="D108" s="2">
        <v>2</v>
      </c>
      <c r="E108" s="2">
        <v>2017</v>
      </c>
      <c r="F108" s="2">
        <v>416.99</v>
      </c>
      <c r="I108" t="str">
        <f t="shared" si="2"/>
        <v>107Sun Bicycles Cruz 7 - 2017722017416.99</v>
      </c>
      <c r="J108" t="str">
        <f t="shared" si="3"/>
        <v>Unique</v>
      </c>
    </row>
    <row r="109" spans="1:10" x14ac:dyDescent="0.35">
      <c r="A109" s="2">
        <v>108</v>
      </c>
      <c r="B109" s="2" t="s">
        <v>105</v>
      </c>
      <c r="C109" s="2">
        <v>7</v>
      </c>
      <c r="D109" s="2">
        <v>2</v>
      </c>
      <c r="E109" s="2">
        <v>2017</v>
      </c>
      <c r="F109" s="2">
        <v>449.99</v>
      </c>
      <c r="I109" t="str">
        <f t="shared" si="2"/>
        <v>108Sun Bicycles Cruz 3 - Women's - 2017722017449.99</v>
      </c>
      <c r="J109" t="str">
        <f t="shared" si="3"/>
        <v>Unique</v>
      </c>
    </row>
    <row r="110" spans="1:10" x14ac:dyDescent="0.35">
      <c r="A110" s="2">
        <v>109</v>
      </c>
      <c r="B110" s="2" t="s">
        <v>106</v>
      </c>
      <c r="C110" s="2">
        <v>7</v>
      </c>
      <c r="D110" s="2">
        <v>2</v>
      </c>
      <c r="E110" s="2">
        <v>2017</v>
      </c>
      <c r="F110" s="2">
        <v>416.99</v>
      </c>
      <c r="I110" t="str">
        <f t="shared" si="2"/>
        <v>109Sun Bicycles Cruz 7 - Women's - 2017722017416.99</v>
      </c>
      <c r="J110" t="str">
        <f t="shared" si="3"/>
        <v>Unique</v>
      </c>
    </row>
    <row r="111" spans="1:10" x14ac:dyDescent="0.35">
      <c r="A111" s="2">
        <v>110</v>
      </c>
      <c r="B111" s="2" t="s">
        <v>107</v>
      </c>
      <c r="C111" s="2">
        <v>7</v>
      </c>
      <c r="D111" s="2">
        <v>2</v>
      </c>
      <c r="E111" s="2">
        <v>2017</v>
      </c>
      <c r="F111" s="2">
        <v>470.99</v>
      </c>
      <c r="I111" t="str">
        <f t="shared" si="2"/>
        <v>110Sun Bicycles Drifter 7 - 2017722017470.99</v>
      </c>
      <c r="J111" t="str">
        <f t="shared" si="3"/>
        <v>Unique</v>
      </c>
    </row>
    <row r="112" spans="1:10" x14ac:dyDescent="0.35">
      <c r="A112" s="2">
        <v>111</v>
      </c>
      <c r="B112" s="2" t="s">
        <v>108</v>
      </c>
      <c r="C112" s="2">
        <v>7</v>
      </c>
      <c r="D112" s="2">
        <v>2</v>
      </c>
      <c r="E112" s="2">
        <v>2017</v>
      </c>
      <c r="F112" s="2">
        <v>470.99</v>
      </c>
      <c r="I112" t="str">
        <f t="shared" si="2"/>
        <v>111Sun Bicycles Drifter 7 - Women's - 2017722017470.99</v>
      </c>
      <c r="J112" t="str">
        <f t="shared" si="3"/>
        <v>Unique</v>
      </c>
    </row>
    <row r="113" spans="1:10" x14ac:dyDescent="0.35">
      <c r="A113" s="2">
        <v>112</v>
      </c>
      <c r="B113" s="2" t="s">
        <v>109</v>
      </c>
      <c r="C113" s="2">
        <v>9</v>
      </c>
      <c r="D113" s="2">
        <v>6</v>
      </c>
      <c r="E113" s="2">
        <v>2018</v>
      </c>
      <c r="F113" s="2">
        <v>379.99</v>
      </c>
      <c r="I113" t="str">
        <f t="shared" si="2"/>
        <v>112Trek 820 - 2018962018379.99</v>
      </c>
      <c r="J113" t="str">
        <f t="shared" si="3"/>
        <v>Unique</v>
      </c>
    </row>
    <row r="114" spans="1:10" x14ac:dyDescent="0.35">
      <c r="A114" s="2">
        <v>113</v>
      </c>
      <c r="B114" s="2" t="s">
        <v>110</v>
      </c>
      <c r="C114" s="2">
        <v>9</v>
      </c>
      <c r="D114" s="2">
        <v>6</v>
      </c>
      <c r="E114" s="2">
        <v>2018</v>
      </c>
      <c r="F114" s="2">
        <v>489.99</v>
      </c>
      <c r="I114" t="str">
        <f t="shared" si="2"/>
        <v>113Trek Marlin 5 - 2018962018489.99</v>
      </c>
      <c r="J114" t="str">
        <f t="shared" si="3"/>
        <v>Unique</v>
      </c>
    </row>
    <row r="115" spans="1:10" x14ac:dyDescent="0.35">
      <c r="A115" s="2">
        <v>114</v>
      </c>
      <c r="B115" s="2" t="s">
        <v>111</v>
      </c>
      <c r="C115" s="2">
        <v>9</v>
      </c>
      <c r="D115" s="2">
        <v>6</v>
      </c>
      <c r="E115" s="2">
        <v>2018</v>
      </c>
      <c r="F115" s="2">
        <v>579.99</v>
      </c>
      <c r="I115" t="str">
        <f t="shared" si="2"/>
        <v>114Trek Marlin 6 - 2018962018579.99</v>
      </c>
      <c r="J115" t="str">
        <f t="shared" si="3"/>
        <v>Unique</v>
      </c>
    </row>
    <row r="116" spans="1:10" x14ac:dyDescent="0.35">
      <c r="A116" s="2">
        <v>115</v>
      </c>
      <c r="B116" s="2" t="s">
        <v>112</v>
      </c>
      <c r="C116" s="2">
        <v>9</v>
      </c>
      <c r="D116" s="2">
        <v>6</v>
      </c>
      <c r="E116" s="2">
        <v>2018</v>
      </c>
      <c r="F116" s="2">
        <v>3199.99</v>
      </c>
      <c r="I116" t="str">
        <f t="shared" si="2"/>
        <v>115Trek Fuel EX 8 29 - 20189620183199.99</v>
      </c>
      <c r="J116" t="str">
        <f t="shared" si="3"/>
        <v>Unique</v>
      </c>
    </row>
    <row r="117" spans="1:10" x14ac:dyDescent="0.35">
      <c r="A117" s="2">
        <v>116</v>
      </c>
      <c r="B117" s="2" t="s">
        <v>113</v>
      </c>
      <c r="C117" s="2">
        <v>9</v>
      </c>
      <c r="D117" s="2">
        <v>6</v>
      </c>
      <c r="E117" s="2">
        <v>2018</v>
      </c>
      <c r="F117" s="2">
        <v>749.99</v>
      </c>
      <c r="I117" t="str">
        <f t="shared" si="2"/>
        <v>116Trek Marlin 7 - 2017/2018962018749.99</v>
      </c>
      <c r="J117" t="str">
        <f t="shared" si="3"/>
        <v>Unique</v>
      </c>
    </row>
    <row r="118" spans="1:10" x14ac:dyDescent="0.35">
      <c r="A118" s="2">
        <v>117</v>
      </c>
      <c r="B118" s="2" t="s">
        <v>114</v>
      </c>
      <c r="C118" s="2">
        <v>9</v>
      </c>
      <c r="D118" s="2">
        <v>6</v>
      </c>
      <c r="E118" s="2">
        <v>2018</v>
      </c>
      <c r="F118" s="2">
        <v>1469.99</v>
      </c>
      <c r="I118" t="str">
        <f t="shared" si="2"/>
        <v>117Trek Ticket S Frame - 20189620181469.99</v>
      </c>
      <c r="J118" t="str">
        <f t="shared" si="3"/>
        <v>Unique</v>
      </c>
    </row>
    <row r="119" spans="1:10" x14ac:dyDescent="0.35">
      <c r="A119" s="2">
        <v>118</v>
      </c>
      <c r="B119" s="2" t="s">
        <v>115</v>
      </c>
      <c r="C119" s="2">
        <v>9</v>
      </c>
      <c r="D119" s="2">
        <v>6</v>
      </c>
      <c r="E119" s="2">
        <v>2018</v>
      </c>
      <c r="F119" s="2">
        <v>999.99</v>
      </c>
      <c r="I119" t="str">
        <f t="shared" si="2"/>
        <v>118Trek X-Caliber 8 - 2018962018999.99</v>
      </c>
      <c r="J119" t="str">
        <f t="shared" si="3"/>
        <v>Unique</v>
      </c>
    </row>
    <row r="120" spans="1:10" x14ac:dyDescent="0.35">
      <c r="A120" s="2">
        <v>119</v>
      </c>
      <c r="B120" s="2" t="s">
        <v>116</v>
      </c>
      <c r="C120" s="2">
        <v>9</v>
      </c>
      <c r="D120" s="2">
        <v>6</v>
      </c>
      <c r="E120" s="2">
        <v>2018</v>
      </c>
      <c r="F120" s="2">
        <v>469.99</v>
      </c>
      <c r="I120" t="str">
        <f t="shared" si="2"/>
        <v>119Trek Kids' Neko - 2018962018469.99</v>
      </c>
      <c r="J120" t="str">
        <f t="shared" si="3"/>
        <v>Unique</v>
      </c>
    </row>
    <row r="121" spans="1:10" x14ac:dyDescent="0.35">
      <c r="A121" s="2">
        <v>120</v>
      </c>
      <c r="B121" s="2" t="s">
        <v>117</v>
      </c>
      <c r="C121" s="2">
        <v>9</v>
      </c>
      <c r="D121" s="2">
        <v>6</v>
      </c>
      <c r="E121" s="2">
        <v>2018</v>
      </c>
      <c r="F121" s="2">
        <v>2499.9899999999998</v>
      </c>
      <c r="I121" t="str">
        <f t="shared" si="2"/>
        <v>120Trek Fuel EX 7 29 - 20189620182499.99</v>
      </c>
      <c r="J121" t="str">
        <f t="shared" si="3"/>
        <v>Unique</v>
      </c>
    </row>
    <row r="122" spans="1:10" x14ac:dyDescent="0.35">
      <c r="A122" s="2">
        <v>121</v>
      </c>
      <c r="B122" s="2" t="s">
        <v>118</v>
      </c>
      <c r="C122" s="2">
        <v>8</v>
      </c>
      <c r="D122" s="2">
        <v>6</v>
      </c>
      <c r="E122" s="2">
        <v>2018</v>
      </c>
      <c r="F122" s="2">
        <v>2499.9899999999998</v>
      </c>
      <c r="I122" t="str">
        <f t="shared" si="2"/>
        <v>121Surly Krampus Frameset - 20188620182499.99</v>
      </c>
      <c r="J122" t="str">
        <f t="shared" si="3"/>
        <v>Unique</v>
      </c>
    </row>
    <row r="123" spans="1:10" x14ac:dyDescent="0.35">
      <c r="A123" s="2">
        <v>122</v>
      </c>
      <c r="B123" s="2" t="s">
        <v>119</v>
      </c>
      <c r="C123" s="2">
        <v>8</v>
      </c>
      <c r="D123" s="2">
        <v>6</v>
      </c>
      <c r="E123" s="2">
        <v>2018</v>
      </c>
      <c r="F123" s="2">
        <v>2499.9899999999998</v>
      </c>
      <c r="I123" t="str">
        <f t="shared" si="2"/>
        <v>122Surly Troll Frameset - 20188620182499.99</v>
      </c>
      <c r="J123" t="str">
        <f t="shared" si="3"/>
        <v>Unique</v>
      </c>
    </row>
    <row r="124" spans="1:10" x14ac:dyDescent="0.35">
      <c r="A124" s="2">
        <v>123</v>
      </c>
      <c r="B124" s="2" t="s">
        <v>120</v>
      </c>
      <c r="C124" s="2">
        <v>9</v>
      </c>
      <c r="D124" s="2">
        <v>6</v>
      </c>
      <c r="E124" s="2">
        <v>2018</v>
      </c>
      <c r="F124" s="2">
        <v>999.99</v>
      </c>
      <c r="I124" t="str">
        <f t="shared" si="2"/>
        <v>123Trek Farley Carbon Frameset - 2018962018999.99</v>
      </c>
      <c r="J124" t="str">
        <f t="shared" si="3"/>
        <v>Unique</v>
      </c>
    </row>
    <row r="125" spans="1:10" x14ac:dyDescent="0.35">
      <c r="A125" s="2">
        <v>124</v>
      </c>
      <c r="B125" s="2" t="s">
        <v>121</v>
      </c>
      <c r="C125" s="2">
        <v>8</v>
      </c>
      <c r="D125" s="2">
        <v>6</v>
      </c>
      <c r="E125" s="2">
        <v>2018</v>
      </c>
      <c r="F125" s="2">
        <v>1499</v>
      </c>
      <c r="I125" t="str">
        <f t="shared" si="2"/>
        <v>124Surly Krampus - 20188620181499</v>
      </c>
      <c r="J125" t="str">
        <f t="shared" si="3"/>
        <v>Unique</v>
      </c>
    </row>
    <row r="126" spans="1:10" x14ac:dyDescent="0.35">
      <c r="A126" s="2">
        <v>125</v>
      </c>
      <c r="B126" s="2" t="s">
        <v>122</v>
      </c>
      <c r="C126" s="2">
        <v>9</v>
      </c>
      <c r="D126" s="2">
        <v>6</v>
      </c>
      <c r="E126" s="2">
        <v>2018</v>
      </c>
      <c r="F126" s="2">
        <v>469.99</v>
      </c>
      <c r="I126" t="str">
        <f t="shared" si="2"/>
        <v>125Trek Kids' Dual Sport - 2018962018469.99</v>
      </c>
      <c r="J126" t="str">
        <f t="shared" si="3"/>
        <v>Unique</v>
      </c>
    </row>
    <row r="127" spans="1:10" x14ac:dyDescent="0.35">
      <c r="A127" s="2">
        <v>126</v>
      </c>
      <c r="B127" s="2" t="s">
        <v>123</v>
      </c>
      <c r="C127" s="2">
        <v>8</v>
      </c>
      <c r="D127" s="2">
        <v>6</v>
      </c>
      <c r="E127" s="2">
        <v>2018</v>
      </c>
      <c r="F127" s="2">
        <v>469.99</v>
      </c>
      <c r="I127" t="str">
        <f t="shared" si="2"/>
        <v>126Surly Big Fat Dummy Frameset - 2018862018469.99</v>
      </c>
      <c r="J127" t="str">
        <f t="shared" si="3"/>
        <v>Unique</v>
      </c>
    </row>
    <row r="128" spans="1:10" x14ac:dyDescent="0.35">
      <c r="A128" s="2">
        <v>127</v>
      </c>
      <c r="B128" s="2" t="s">
        <v>124</v>
      </c>
      <c r="C128" s="2">
        <v>8</v>
      </c>
      <c r="D128" s="2">
        <v>6</v>
      </c>
      <c r="E128" s="2">
        <v>2018</v>
      </c>
      <c r="F128" s="2">
        <v>469.99</v>
      </c>
      <c r="I128" t="str">
        <f t="shared" si="2"/>
        <v>127Surly Pack Rat Frameset - 2018862018469.99</v>
      </c>
      <c r="J128" t="str">
        <f t="shared" si="3"/>
        <v>Unique</v>
      </c>
    </row>
    <row r="129" spans="1:10" x14ac:dyDescent="0.35">
      <c r="A129" s="2">
        <v>128</v>
      </c>
      <c r="B129" s="2" t="s">
        <v>125</v>
      </c>
      <c r="C129" s="2">
        <v>8</v>
      </c>
      <c r="D129" s="2">
        <v>6</v>
      </c>
      <c r="E129" s="2">
        <v>2018</v>
      </c>
      <c r="F129" s="2">
        <v>1899</v>
      </c>
      <c r="I129" t="str">
        <f t="shared" si="2"/>
        <v>128Surly ECR 27.5 - 20188620181899</v>
      </c>
      <c r="J129" t="str">
        <f t="shared" si="3"/>
        <v>Unique</v>
      </c>
    </row>
    <row r="130" spans="1:10" x14ac:dyDescent="0.35">
      <c r="A130" s="2">
        <v>129</v>
      </c>
      <c r="B130" s="2" t="s">
        <v>126</v>
      </c>
      <c r="C130" s="2">
        <v>9</v>
      </c>
      <c r="D130" s="2">
        <v>6</v>
      </c>
      <c r="E130" s="2">
        <v>2018</v>
      </c>
      <c r="F130" s="2">
        <v>919.99</v>
      </c>
      <c r="I130" t="str">
        <f t="shared" si="2"/>
        <v>129Trek X-Caliber 7 - 2018962018919.99</v>
      </c>
      <c r="J130" t="str">
        <f t="shared" si="3"/>
        <v>Unique</v>
      </c>
    </row>
    <row r="131" spans="1:10" x14ac:dyDescent="0.35">
      <c r="A131" s="2">
        <v>130</v>
      </c>
      <c r="B131" s="2" t="s">
        <v>127</v>
      </c>
      <c r="C131" s="2">
        <v>9</v>
      </c>
      <c r="D131" s="2">
        <v>6</v>
      </c>
      <c r="E131" s="2">
        <v>2018</v>
      </c>
      <c r="F131" s="2">
        <v>919.99</v>
      </c>
      <c r="I131" t="str">
        <f t="shared" ref="I131:I194" si="4">A131&amp;B131&amp;C131&amp;D131&amp;E131&amp;F131</f>
        <v>130Trek Stache Carbon Frameset - 2018962018919.99</v>
      </c>
      <c r="J131" t="str">
        <f t="shared" ref="J131:J194" si="5">IF(COUNTIF($I$2:$I$322,I131)&gt;1,"Duplicate","Unique")</f>
        <v>Unique</v>
      </c>
    </row>
    <row r="132" spans="1:10" x14ac:dyDescent="0.35">
      <c r="A132" s="2">
        <v>131</v>
      </c>
      <c r="B132" s="2" t="s">
        <v>128</v>
      </c>
      <c r="C132" s="2">
        <v>3</v>
      </c>
      <c r="D132" s="2">
        <v>6</v>
      </c>
      <c r="E132" s="2">
        <v>2018</v>
      </c>
      <c r="F132" s="2">
        <v>2599</v>
      </c>
      <c r="I132" t="str">
        <f t="shared" si="4"/>
        <v>131Heller Bloodhound Trail - 20183620182599</v>
      </c>
      <c r="J132" t="str">
        <f t="shared" si="5"/>
        <v>Unique</v>
      </c>
    </row>
    <row r="133" spans="1:10" x14ac:dyDescent="0.35">
      <c r="A133" s="2">
        <v>132</v>
      </c>
      <c r="B133" s="2" t="s">
        <v>129</v>
      </c>
      <c r="C133" s="2">
        <v>9</v>
      </c>
      <c r="D133" s="2">
        <v>6</v>
      </c>
      <c r="E133" s="2">
        <v>2018</v>
      </c>
      <c r="F133" s="2">
        <v>1499.99</v>
      </c>
      <c r="I133" t="str">
        <f t="shared" si="4"/>
        <v>132Trek Procal AL Frameset - 20189620181499.99</v>
      </c>
      <c r="J133" t="str">
        <f t="shared" si="5"/>
        <v>Unique</v>
      </c>
    </row>
    <row r="134" spans="1:10" x14ac:dyDescent="0.35">
      <c r="A134" s="2">
        <v>133</v>
      </c>
      <c r="B134" s="2" t="s">
        <v>130</v>
      </c>
      <c r="C134" s="2">
        <v>9</v>
      </c>
      <c r="D134" s="2">
        <v>6</v>
      </c>
      <c r="E134" s="2">
        <v>2018</v>
      </c>
      <c r="F134" s="2">
        <v>1499.99</v>
      </c>
      <c r="I134" t="str">
        <f t="shared" si="4"/>
        <v>133Trek Procaliber Frameset - 20189620181499.99</v>
      </c>
      <c r="J134" t="str">
        <f t="shared" si="5"/>
        <v>Unique</v>
      </c>
    </row>
    <row r="135" spans="1:10" x14ac:dyDescent="0.35">
      <c r="A135" s="2">
        <v>134</v>
      </c>
      <c r="B135" s="2" t="s">
        <v>131</v>
      </c>
      <c r="C135" s="2">
        <v>9</v>
      </c>
      <c r="D135" s="2">
        <v>6</v>
      </c>
      <c r="E135" s="2">
        <v>2018</v>
      </c>
      <c r="F135" s="2">
        <v>1499.99</v>
      </c>
      <c r="I135" t="str">
        <f t="shared" si="4"/>
        <v>134Trek Remedy 27.5 C Frameset - 20189620181499.99</v>
      </c>
      <c r="J135" t="str">
        <f t="shared" si="5"/>
        <v>Unique</v>
      </c>
    </row>
    <row r="136" spans="1:10" x14ac:dyDescent="0.35">
      <c r="A136" s="2">
        <v>135</v>
      </c>
      <c r="B136" s="2" t="s">
        <v>132</v>
      </c>
      <c r="C136" s="2">
        <v>9</v>
      </c>
      <c r="D136" s="2">
        <v>6</v>
      </c>
      <c r="E136" s="2">
        <v>2018</v>
      </c>
      <c r="F136" s="2">
        <v>1499.99</v>
      </c>
      <c r="I136" t="str">
        <f t="shared" si="4"/>
        <v>135Trek X-Caliber Frameset - 20189620181499.99</v>
      </c>
      <c r="J136" t="str">
        <f t="shared" si="5"/>
        <v>Unique</v>
      </c>
    </row>
    <row r="137" spans="1:10" x14ac:dyDescent="0.35">
      <c r="A137" s="2">
        <v>136</v>
      </c>
      <c r="B137" s="2" t="s">
        <v>133</v>
      </c>
      <c r="C137" s="2">
        <v>9</v>
      </c>
      <c r="D137" s="2">
        <v>6</v>
      </c>
      <c r="E137" s="2">
        <v>2018</v>
      </c>
      <c r="F137" s="2">
        <v>1799.99</v>
      </c>
      <c r="I137" t="str">
        <f t="shared" si="4"/>
        <v>136Trek Procaliber 6 - 20189620181799.99</v>
      </c>
      <c r="J137" t="str">
        <f t="shared" si="5"/>
        <v>Unique</v>
      </c>
    </row>
    <row r="138" spans="1:10" x14ac:dyDescent="0.35">
      <c r="A138" s="2">
        <v>137</v>
      </c>
      <c r="B138" s="2" t="s">
        <v>134</v>
      </c>
      <c r="C138" s="2">
        <v>3</v>
      </c>
      <c r="D138" s="2">
        <v>6</v>
      </c>
      <c r="E138" s="2">
        <v>2018</v>
      </c>
      <c r="F138" s="2">
        <v>2599</v>
      </c>
      <c r="I138" t="str">
        <f t="shared" si="4"/>
        <v>137Heller Shagamaw GX1 - 20183620182599</v>
      </c>
      <c r="J138" t="str">
        <f t="shared" si="5"/>
        <v>Unique</v>
      </c>
    </row>
    <row r="139" spans="1:10" x14ac:dyDescent="0.35">
      <c r="A139" s="2">
        <v>138</v>
      </c>
      <c r="B139" s="2" t="s">
        <v>135</v>
      </c>
      <c r="C139" s="2">
        <v>9</v>
      </c>
      <c r="D139" s="2">
        <v>6</v>
      </c>
      <c r="E139" s="2">
        <v>2018</v>
      </c>
      <c r="F139" s="2">
        <v>2249.9899999999998</v>
      </c>
      <c r="I139" t="str">
        <f t="shared" si="4"/>
        <v>138Trek Fuel EX 5 Plus - 20189620182249.99</v>
      </c>
      <c r="J139" t="str">
        <f t="shared" si="5"/>
        <v>Unique</v>
      </c>
    </row>
    <row r="140" spans="1:10" x14ac:dyDescent="0.35">
      <c r="A140" s="2">
        <v>139</v>
      </c>
      <c r="B140" s="2" t="s">
        <v>136</v>
      </c>
      <c r="C140" s="2">
        <v>9</v>
      </c>
      <c r="D140" s="2">
        <v>6</v>
      </c>
      <c r="E140" s="2">
        <v>2018</v>
      </c>
      <c r="F140" s="2">
        <v>2999.99</v>
      </c>
      <c r="I140" t="str">
        <f t="shared" si="4"/>
        <v>139Trek Remedy 7 27.5 - 20189620182999.99</v>
      </c>
      <c r="J140" t="str">
        <f t="shared" si="5"/>
        <v>Unique</v>
      </c>
    </row>
    <row r="141" spans="1:10" x14ac:dyDescent="0.35">
      <c r="A141" s="2">
        <v>140</v>
      </c>
      <c r="B141" s="2" t="s">
        <v>137</v>
      </c>
      <c r="C141" s="2">
        <v>9</v>
      </c>
      <c r="D141" s="2">
        <v>6</v>
      </c>
      <c r="E141" s="2">
        <v>2018</v>
      </c>
      <c r="F141" s="2">
        <v>4999.99</v>
      </c>
      <c r="I141" t="str">
        <f t="shared" si="4"/>
        <v>140Trek Remedy 9.8 27.5 - 20189620184999.99</v>
      </c>
      <c r="J141" t="str">
        <f t="shared" si="5"/>
        <v>Unique</v>
      </c>
    </row>
    <row r="142" spans="1:10" x14ac:dyDescent="0.35">
      <c r="A142" s="2">
        <v>141</v>
      </c>
      <c r="B142" s="2" t="s">
        <v>138</v>
      </c>
      <c r="C142" s="2">
        <v>9</v>
      </c>
      <c r="D142" s="2">
        <v>6</v>
      </c>
      <c r="E142" s="2">
        <v>2018</v>
      </c>
      <c r="F142" s="2">
        <v>1599.99</v>
      </c>
      <c r="I142" t="str">
        <f t="shared" si="4"/>
        <v>141Trek Stache 5 - 20189620181599.99</v>
      </c>
      <c r="J142" t="str">
        <f t="shared" si="5"/>
        <v>Unique</v>
      </c>
    </row>
    <row r="143" spans="1:10" x14ac:dyDescent="0.35">
      <c r="A143" s="2">
        <v>142</v>
      </c>
      <c r="B143" s="2" t="s">
        <v>139</v>
      </c>
      <c r="C143" s="2">
        <v>9</v>
      </c>
      <c r="D143" s="2">
        <v>6</v>
      </c>
      <c r="E143" s="2">
        <v>2018</v>
      </c>
      <c r="F143" s="2">
        <v>3199.99</v>
      </c>
      <c r="I143" t="str">
        <f t="shared" si="4"/>
        <v>142Trek Fuel EX 8 29 XT - 20189620183199.99</v>
      </c>
      <c r="J143" t="str">
        <f t="shared" si="5"/>
        <v>Unique</v>
      </c>
    </row>
    <row r="144" spans="1:10" x14ac:dyDescent="0.35">
      <c r="A144" s="2">
        <v>143</v>
      </c>
      <c r="B144" s="2" t="s">
        <v>140</v>
      </c>
      <c r="C144" s="2">
        <v>9</v>
      </c>
      <c r="D144" s="2">
        <v>7</v>
      </c>
      <c r="E144" s="2">
        <v>2018</v>
      </c>
      <c r="F144" s="2">
        <v>1099.99</v>
      </c>
      <c r="I144" t="str">
        <f t="shared" si="4"/>
        <v>143Trek Domane ALR 3 - 20189720181099.99</v>
      </c>
      <c r="J144" t="str">
        <f t="shared" si="5"/>
        <v>Unique</v>
      </c>
    </row>
    <row r="145" spans="1:10" x14ac:dyDescent="0.35">
      <c r="A145" s="2">
        <v>144</v>
      </c>
      <c r="B145" s="2" t="s">
        <v>141</v>
      </c>
      <c r="C145" s="2">
        <v>9</v>
      </c>
      <c r="D145" s="2">
        <v>7</v>
      </c>
      <c r="E145" s="2">
        <v>2018</v>
      </c>
      <c r="F145" s="2">
        <v>1549.99</v>
      </c>
      <c r="I145" t="str">
        <f t="shared" si="4"/>
        <v>144Trek Domane ALR 4 Disc - 20189720181549.99</v>
      </c>
      <c r="J145" t="str">
        <f t="shared" si="5"/>
        <v>Unique</v>
      </c>
    </row>
    <row r="146" spans="1:10" x14ac:dyDescent="0.35">
      <c r="A146" s="2">
        <v>145</v>
      </c>
      <c r="B146" s="2" t="s">
        <v>142</v>
      </c>
      <c r="C146" s="2">
        <v>9</v>
      </c>
      <c r="D146" s="2">
        <v>7</v>
      </c>
      <c r="E146" s="2">
        <v>2018</v>
      </c>
      <c r="F146" s="2">
        <v>1799.99</v>
      </c>
      <c r="I146" t="str">
        <f t="shared" si="4"/>
        <v>145Trek Domane ALR 5 Disc - 20189720181799.99</v>
      </c>
      <c r="J146" t="str">
        <f t="shared" si="5"/>
        <v>Unique</v>
      </c>
    </row>
    <row r="147" spans="1:10" x14ac:dyDescent="0.35">
      <c r="A147" s="2">
        <v>146</v>
      </c>
      <c r="B147" s="2" t="s">
        <v>143</v>
      </c>
      <c r="C147" s="2">
        <v>9</v>
      </c>
      <c r="D147" s="2">
        <v>7</v>
      </c>
      <c r="E147" s="2">
        <v>2018</v>
      </c>
      <c r="F147" s="2">
        <v>4999.99</v>
      </c>
      <c r="I147" t="str">
        <f t="shared" si="4"/>
        <v>146Trek Domane SLR 6 - 20189720184999.99</v>
      </c>
      <c r="J147" t="str">
        <f t="shared" si="5"/>
        <v>Unique</v>
      </c>
    </row>
    <row r="148" spans="1:10" x14ac:dyDescent="0.35">
      <c r="A148" s="2">
        <v>147</v>
      </c>
      <c r="B148" s="2" t="s">
        <v>144</v>
      </c>
      <c r="C148" s="2">
        <v>9</v>
      </c>
      <c r="D148" s="2">
        <v>7</v>
      </c>
      <c r="E148" s="2">
        <v>2018</v>
      </c>
      <c r="F148" s="2">
        <v>1799.99</v>
      </c>
      <c r="I148" t="str">
        <f t="shared" si="4"/>
        <v>147Trek Domane ALR 5 Gravel - 20189720181799.99</v>
      </c>
      <c r="J148" t="str">
        <f t="shared" si="5"/>
        <v>Unique</v>
      </c>
    </row>
    <row r="149" spans="1:10" x14ac:dyDescent="0.35">
      <c r="A149" s="2">
        <v>148</v>
      </c>
      <c r="B149" s="2" t="s">
        <v>145</v>
      </c>
      <c r="C149" s="2">
        <v>9</v>
      </c>
      <c r="D149" s="2">
        <v>7</v>
      </c>
      <c r="E149" s="2">
        <v>2018</v>
      </c>
      <c r="F149" s="2">
        <v>5499.99</v>
      </c>
      <c r="I149" t="str">
        <f t="shared" si="4"/>
        <v>148Trek Domane SL 8 Disc - 20189720185499.99</v>
      </c>
      <c r="J149" t="str">
        <f t="shared" si="5"/>
        <v>Unique</v>
      </c>
    </row>
    <row r="150" spans="1:10" x14ac:dyDescent="0.35">
      <c r="A150" s="2">
        <v>149</v>
      </c>
      <c r="B150" s="2" t="s">
        <v>146</v>
      </c>
      <c r="C150" s="2">
        <v>9</v>
      </c>
      <c r="D150" s="2">
        <v>7</v>
      </c>
      <c r="E150" s="2">
        <v>2018</v>
      </c>
      <c r="F150" s="2">
        <v>7499.99</v>
      </c>
      <c r="I150" t="str">
        <f t="shared" si="4"/>
        <v>149Trek Domane SLR 8 Disc - 20189720187499.99</v>
      </c>
      <c r="J150" t="str">
        <f t="shared" si="5"/>
        <v>Unique</v>
      </c>
    </row>
    <row r="151" spans="1:10" x14ac:dyDescent="0.35">
      <c r="A151" s="2">
        <v>150</v>
      </c>
      <c r="B151" s="2" t="s">
        <v>147</v>
      </c>
      <c r="C151" s="2">
        <v>9</v>
      </c>
      <c r="D151" s="2">
        <v>7</v>
      </c>
      <c r="E151" s="2">
        <v>2018</v>
      </c>
      <c r="F151" s="2">
        <v>4499.99</v>
      </c>
      <c r="I151" t="str">
        <f t="shared" si="4"/>
        <v>150Trek Emonda SL 7 - 20189720184499.99</v>
      </c>
      <c r="J151" t="str">
        <f t="shared" si="5"/>
        <v>Unique</v>
      </c>
    </row>
    <row r="152" spans="1:10" x14ac:dyDescent="0.35">
      <c r="A152" s="2">
        <v>151</v>
      </c>
      <c r="B152" s="2" t="s">
        <v>148</v>
      </c>
      <c r="C152" s="2">
        <v>9</v>
      </c>
      <c r="D152" s="2">
        <v>7</v>
      </c>
      <c r="E152" s="2">
        <v>2018</v>
      </c>
      <c r="F152" s="2">
        <v>1549.99</v>
      </c>
      <c r="I152" t="str">
        <f t="shared" si="4"/>
        <v>151Trek Domane ALR 4 Disc Women's - 20189720181549.99</v>
      </c>
      <c r="J152" t="str">
        <f t="shared" si="5"/>
        <v>Unique</v>
      </c>
    </row>
    <row r="153" spans="1:10" x14ac:dyDescent="0.35">
      <c r="A153" s="2">
        <v>152</v>
      </c>
      <c r="B153" s="2" t="s">
        <v>149</v>
      </c>
      <c r="C153" s="2">
        <v>9</v>
      </c>
      <c r="D153" s="2">
        <v>7</v>
      </c>
      <c r="E153" s="2">
        <v>2018</v>
      </c>
      <c r="F153" s="2">
        <v>2499.9899999999998</v>
      </c>
      <c r="I153" t="str">
        <f t="shared" si="4"/>
        <v>152Trek Domane SL 5 Disc Women's - 20189720182499.99</v>
      </c>
      <c r="J153" t="str">
        <f t="shared" si="5"/>
        <v>Unique</v>
      </c>
    </row>
    <row r="154" spans="1:10" x14ac:dyDescent="0.35">
      <c r="A154" s="2">
        <v>153</v>
      </c>
      <c r="B154" s="2" t="s">
        <v>150</v>
      </c>
      <c r="C154" s="2">
        <v>9</v>
      </c>
      <c r="D154" s="2">
        <v>7</v>
      </c>
      <c r="E154" s="2">
        <v>2018</v>
      </c>
      <c r="F154" s="2">
        <v>4999.99</v>
      </c>
      <c r="I154" t="str">
        <f t="shared" si="4"/>
        <v>153Trek Domane SL 7 Women's - 20189720184999.99</v>
      </c>
      <c r="J154" t="str">
        <f t="shared" si="5"/>
        <v>Unique</v>
      </c>
    </row>
    <row r="155" spans="1:10" x14ac:dyDescent="0.35">
      <c r="A155" s="2">
        <v>154</v>
      </c>
      <c r="B155" s="2" t="s">
        <v>151</v>
      </c>
      <c r="C155" s="2">
        <v>9</v>
      </c>
      <c r="D155" s="2">
        <v>7</v>
      </c>
      <c r="E155" s="2">
        <v>2018</v>
      </c>
      <c r="F155" s="2">
        <v>5499.99</v>
      </c>
      <c r="I155" t="str">
        <f t="shared" si="4"/>
        <v>154Trek Domane SLR 6 Disc Women's - 20189720185499.99</v>
      </c>
      <c r="J155" t="str">
        <f t="shared" si="5"/>
        <v>Unique</v>
      </c>
    </row>
    <row r="156" spans="1:10" x14ac:dyDescent="0.35">
      <c r="A156" s="2">
        <v>155</v>
      </c>
      <c r="B156" s="2" t="s">
        <v>152</v>
      </c>
      <c r="C156" s="2">
        <v>9</v>
      </c>
      <c r="D156" s="2">
        <v>7</v>
      </c>
      <c r="E156" s="2">
        <v>2018</v>
      </c>
      <c r="F156" s="2">
        <v>11999.99</v>
      </c>
      <c r="I156" t="str">
        <f t="shared" si="4"/>
        <v>155Trek Domane SLR 9 Disc - 201897201811999.99</v>
      </c>
      <c r="J156" t="str">
        <f t="shared" si="5"/>
        <v>Unique</v>
      </c>
    </row>
    <row r="157" spans="1:10" x14ac:dyDescent="0.35">
      <c r="A157" s="2">
        <v>156</v>
      </c>
      <c r="B157" s="2" t="s">
        <v>153</v>
      </c>
      <c r="C157" s="2">
        <v>9</v>
      </c>
      <c r="D157" s="2">
        <v>7</v>
      </c>
      <c r="E157" s="2">
        <v>2018</v>
      </c>
      <c r="F157" s="2">
        <v>6499.99</v>
      </c>
      <c r="I157" t="str">
        <f t="shared" si="4"/>
        <v>156Trek Domane SL Frameset - 20189720186499.99</v>
      </c>
      <c r="J157" t="str">
        <f t="shared" si="5"/>
        <v>Unique</v>
      </c>
    </row>
    <row r="158" spans="1:10" x14ac:dyDescent="0.35">
      <c r="A158" s="2">
        <v>157</v>
      </c>
      <c r="B158" s="2" t="s">
        <v>154</v>
      </c>
      <c r="C158" s="2">
        <v>9</v>
      </c>
      <c r="D158" s="2">
        <v>7</v>
      </c>
      <c r="E158" s="2">
        <v>2018</v>
      </c>
      <c r="F158" s="2">
        <v>6499.99</v>
      </c>
      <c r="I158" t="str">
        <f t="shared" si="4"/>
        <v>157Trek Domane SL Frameset Women's - 20189720186499.99</v>
      </c>
      <c r="J158" t="str">
        <f t="shared" si="5"/>
        <v>Unique</v>
      </c>
    </row>
    <row r="159" spans="1:10" x14ac:dyDescent="0.35">
      <c r="A159" s="2">
        <v>158</v>
      </c>
      <c r="B159" s="2" t="s">
        <v>155</v>
      </c>
      <c r="C159" s="2">
        <v>9</v>
      </c>
      <c r="D159" s="2">
        <v>7</v>
      </c>
      <c r="E159" s="2">
        <v>2018</v>
      </c>
      <c r="F159" s="2">
        <v>959.99</v>
      </c>
      <c r="I159" t="str">
        <f t="shared" si="4"/>
        <v>158Trek CrossRip 1 - 2018972018959.99</v>
      </c>
      <c r="J159" t="str">
        <f t="shared" si="5"/>
        <v>Unique</v>
      </c>
    </row>
    <row r="160" spans="1:10" x14ac:dyDescent="0.35">
      <c r="A160" s="2">
        <v>159</v>
      </c>
      <c r="B160" s="2" t="s">
        <v>156</v>
      </c>
      <c r="C160" s="2">
        <v>9</v>
      </c>
      <c r="D160" s="2">
        <v>7</v>
      </c>
      <c r="E160" s="2">
        <v>2018</v>
      </c>
      <c r="F160" s="2">
        <v>2299.9899999999998</v>
      </c>
      <c r="I160" t="str">
        <f t="shared" si="4"/>
        <v>159Trek Emonda ALR 6 - 20189720182299.99</v>
      </c>
      <c r="J160" t="str">
        <f t="shared" si="5"/>
        <v>Unique</v>
      </c>
    </row>
    <row r="161" spans="1:10" x14ac:dyDescent="0.35">
      <c r="A161" s="2">
        <v>160</v>
      </c>
      <c r="B161" s="2" t="s">
        <v>157</v>
      </c>
      <c r="C161" s="2">
        <v>9</v>
      </c>
      <c r="D161" s="2">
        <v>7</v>
      </c>
      <c r="E161" s="2">
        <v>2018</v>
      </c>
      <c r="F161" s="2">
        <v>4499.99</v>
      </c>
      <c r="I161" t="str">
        <f t="shared" si="4"/>
        <v>160Trek Emonda SLR 6 - 20189720184499.99</v>
      </c>
      <c r="J161" t="str">
        <f t="shared" si="5"/>
        <v>Unique</v>
      </c>
    </row>
    <row r="162" spans="1:10" x14ac:dyDescent="0.35">
      <c r="A162" s="2">
        <v>161</v>
      </c>
      <c r="B162" s="2" t="s">
        <v>158</v>
      </c>
      <c r="C162" s="2">
        <v>8</v>
      </c>
      <c r="D162" s="2">
        <v>7</v>
      </c>
      <c r="E162" s="2">
        <v>2018</v>
      </c>
      <c r="F162" s="2">
        <v>1899</v>
      </c>
      <c r="I162" t="str">
        <f t="shared" si="4"/>
        <v>161Surly ECR - 20188720181899</v>
      </c>
      <c r="J162" t="str">
        <f t="shared" si="5"/>
        <v>Unique</v>
      </c>
    </row>
    <row r="163" spans="1:10" x14ac:dyDescent="0.35">
      <c r="A163" s="2">
        <v>162</v>
      </c>
      <c r="B163" s="2" t="s">
        <v>159</v>
      </c>
      <c r="C163" s="2">
        <v>9</v>
      </c>
      <c r="D163" s="2">
        <v>7</v>
      </c>
      <c r="E163" s="2">
        <v>2018</v>
      </c>
      <c r="F163" s="2">
        <v>2999.99</v>
      </c>
      <c r="I163" t="str">
        <f t="shared" si="4"/>
        <v>162Trek Emonda SL 6 Disc - 20189720182999.99</v>
      </c>
      <c r="J163" t="str">
        <f t="shared" si="5"/>
        <v>Unique</v>
      </c>
    </row>
    <row r="164" spans="1:10" x14ac:dyDescent="0.35">
      <c r="A164" s="2">
        <v>163</v>
      </c>
      <c r="B164" s="2" t="s">
        <v>160</v>
      </c>
      <c r="C164" s="2">
        <v>8</v>
      </c>
      <c r="D164" s="2">
        <v>7</v>
      </c>
      <c r="E164" s="2">
        <v>2018</v>
      </c>
      <c r="F164" s="2">
        <v>1349</v>
      </c>
      <c r="I164" t="str">
        <f t="shared" si="4"/>
        <v>163Surly Pack Rat - 20188720181349</v>
      </c>
      <c r="J164" t="str">
        <f t="shared" si="5"/>
        <v>Unique</v>
      </c>
    </row>
    <row r="165" spans="1:10" x14ac:dyDescent="0.35">
      <c r="A165" s="2">
        <v>164</v>
      </c>
      <c r="B165" s="2" t="s">
        <v>161</v>
      </c>
      <c r="C165" s="2">
        <v>8</v>
      </c>
      <c r="D165" s="2">
        <v>7</v>
      </c>
      <c r="E165" s="2">
        <v>2018</v>
      </c>
      <c r="F165" s="2">
        <v>1549</v>
      </c>
      <c r="I165" t="str">
        <f t="shared" si="4"/>
        <v>164Surly Straggler 650b - 20188720181549</v>
      </c>
      <c r="J165" t="str">
        <f t="shared" si="5"/>
        <v>Unique</v>
      </c>
    </row>
    <row r="166" spans="1:10" x14ac:dyDescent="0.35">
      <c r="A166" s="2">
        <v>165</v>
      </c>
      <c r="B166" s="2" t="s">
        <v>162</v>
      </c>
      <c r="C166" s="2">
        <v>9</v>
      </c>
      <c r="D166" s="2">
        <v>7</v>
      </c>
      <c r="E166" s="2">
        <v>2018</v>
      </c>
      <c r="F166" s="2">
        <v>2499.9899999999998</v>
      </c>
      <c r="I166" t="str">
        <f t="shared" si="4"/>
        <v>165Trek 1120 - 20189720182499.99</v>
      </c>
      <c r="J166" t="str">
        <f t="shared" si="5"/>
        <v>Unique</v>
      </c>
    </row>
    <row r="167" spans="1:10" x14ac:dyDescent="0.35">
      <c r="A167" s="2">
        <v>166</v>
      </c>
      <c r="B167" s="2" t="s">
        <v>163</v>
      </c>
      <c r="C167" s="2">
        <v>9</v>
      </c>
      <c r="D167" s="2">
        <v>7</v>
      </c>
      <c r="E167" s="2">
        <v>2018</v>
      </c>
      <c r="F167" s="2">
        <v>749.99</v>
      </c>
      <c r="I167" t="str">
        <f t="shared" si="4"/>
        <v>166Trek Domane AL 2 Women's - 2018972018749.99</v>
      </c>
      <c r="J167" t="str">
        <f t="shared" si="5"/>
        <v>Unique</v>
      </c>
    </row>
    <row r="168" spans="1:10" x14ac:dyDescent="0.35">
      <c r="A168" s="2">
        <v>167</v>
      </c>
      <c r="B168" s="2" t="s">
        <v>164</v>
      </c>
      <c r="C168" s="2">
        <v>8</v>
      </c>
      <c r="D168" s="2">
        <v>7</v>
      </c>
      <c r="E168" s="2">
        <v>2018</v>
      </c>
      <c r="F168" s="2">
        <v>749.99</v>
      </c>
      <c r="I168" t="str">
        <f t="shared" si="4"/>
        <v>167Surly ECR Frameset - 2018872018749.99</v>
      </c>
      <c r="J168" t="str">
        <f t="shared" si="5"/>
        <v>Unique</v>
      </c>
    </row>
    <row r="169" spans="1:10" x14ac:dyDescent="0.35">
      <c r="A169" s="2">
        <v>168</v>
      </c>
      <c r="B169" s="2" t="s">
        <v>165</v>
      </c>
      <c r="C169" s="2">
        <v>8</v>
      </c>
      <c r="D169" s="2">
        <v>7</v>
      </c>
      <c r="E169" s="2">
        <v>2018</v>
      </c>
      <c r="F169" s="2">
        <v>1549</v>
      </c>
      <c r="I169" t="str">
        <f t="shared" si="4"/>
        <v>168Surly Straggler - 20188720181549</v>
      </c>
      <c r="J169" t="str">
        <f t="shared" si="5"/>
        <v>Unique</v>
      </c>
    </row>
    <row r="170" spans="1:10" x14ac:dyDescent="0.35">
      <c r="A170" s="2">
        <v>169</v>
      </c>
      <c r="B170" s="2" t="s">
        <v>166</v>
      </c>
      <c r="C170" s="2">
        <v>9</v>
      </c>
      <c r="D170" s="2">
        <v>7</v>
      </c>
      <c r="E170" s="2">
        <v>2018</v>
      </c>
      <c r="F170" s="2">
        <v>6499.99</v>
      </c>
      <c r="I170" t="str">
        <f t="shared" si="4"/>
        <v>169Trek Emonda SLR 8 - 20189720186499.99</v>
      </c>
      <c r="J170" t="str">
        <f t="shared" si="5"/>
        <v>Unique</v>
      </c>
    </row>
    <row r="171" spans="1:10" x14ac:dyDescent="0.35">
      <c r="A171" s="2">
        <v>170</v>
      </c>
      <c r="B171" s="2" t="s">
        <v>167</v>
      </c>
      <c r="C171" s="2">
        <v>9</v>
      </c>
      <c r="D171" s="2">
        <v>7</v>
      </c>
      <c r="E171" s="2">
        <v>2018</v>
      </c>
      <c r="F171" s="2">
        <v>1299.99</v>
      </c>
      <c r="I171" t="str">
        <f t="shared" si="4"/>
        <v>170Trek CrossRip 2 - 20189720181299.99</v>
      </c>
      <c r="J171" t="str">
        <f t="shared" si="5"/>
        <v>Unique</v>
      </c>
    </row>
    <row r="172" spans="1:10" x14ac:dyDescent="0.35">
      <c r="A172" s="2">
        <v>171</v>
      </c>
      <c r="B172" s="2" t="s">
        <v>168</v>
      </c>
      <c r="C172" s="2">
        <v>9</v>
      </c>
      <c r="D172" s="2">
        <v>7</v>
      </c>
      <c r="E172" s="2">
        <v>2018</v>
      </c>
      <c r="F172" s="2">
        <v>3199.99</v>
      </c>
      <c r="I172" t="str">
        <f t="shared" si="4"/>
        <v>171Trek Domane SL 6 - 20189720183199.99</v>
      </c>
      <c r="J172" t="str">
        <f t="shared" si="5"/>
        <v>Unique</v>
      </c>
    </row>
    <row r="173" spans="1:10" x14ac:dyDescent="0.35">
      <c r="A173" s="2">
        <v>172</v>
      </c>
      <c r="B173" s="2" t="s">
        <v>169</v>
      </c>
      <c r="C173" s="2">
        <v>9</v>
      </c>
      <c r="D173" s="2">
        <v>7</v>
      </c>
      <c r="E173" s="2">
        <v>2018</v>
      </c>
      <c r="F173" s="2">
        <v>3199.99</v>
      </c>
      <c r="I173" t="str">
        <f t="shared" si="4"/>
        <v>172Trek Domane ALR Disc Frameset - 20189720183199.99</v>
      </c>
      <c r="J173" t="str">
        <f t="shared" si="5"/>
        <v>Unique</v>
      </c>
    </row>
    <row r="174" spans="1:10" x14ac:dyDescent="0.35">
      <c r="A174" s="2">
        <v>173</v>
      </c>
      <c r="B174" s="2" t="s">
        <v>170</v>
      </c>
      <c r="C174" s="2">
        <v>9</v>
      </c>
      <c r="D174" s="2">
        <v>7</v>
      </c>
      <c r="E174" s="2">
        <v>2018</v>
      </c>
      <c r="F174" s="2">
        <v>3199.99</v>
      </c>
      <c r="I174" t="str">
        <f t="shared" si="4"/>
        <v>173Trek Domane ALR Frameset - 20189720183199.99</v>
      </c>
      <c r="J174" t="str">
        <f t="shared" si="5"/>
        <v>Unique</v>
      </c>
    </row>
    <row r="175" spans="1:10" x14ac:dyDescent="0.35">
      <c r="A175" s="2">
        <v>174</v>
      </c>
      <c r="B175" s="2" t="s">
        <v>171</v>
      </c>
      <c r="C175" s="2">
        <v>9</v>
      </c>
      <c r="D175" s="2">
        <v>7</v>
      </c>
      <c r="E175" s="2">
        <v>2018</v>
      </c>
      <c r="F175" s="2">
        <v>3199.99</v>
      </c>
      <c r="I175" t="str">
        <f t="shared" si="4"/>
        <v>174Trek Domane SLR Disc Frameset - 20189720183199.99</v>
      </c>
      <c r="J175" t="str">
        <f t="shared" si="5"/>
        <v>Unique</v>
      </c>
    </row>
    <row r="176" spans="1:10" x14ac:dyDescent="0.35">
      <c r="A176" s="2">
        <v>175</v>
      </c>
      <c r="B176" s="2" t="s">
        <v>172</v>
      </c>
      <c r="C176" s="2">
        <v>9</v>
      </c>
      <c r="D176" s="2">
        <v>7</v>
      </c>
      <c r="E176" s="2">
        <v>2018</v>
      </c>
      <c r="F176" s="2">
        <v>3199.99</v>
      </c>
      <c r="I176" t="str">
        <f t="shared" si="4"/>
        <v>175Trek Domane SLR Frameset - 20189720183199.99</v>
      </c>
      <c r="J176" t="str">
        <f t="shared" si="5"/>
        <v>Unique</v>
      </c>
    </row>
    <row r="177" spans="1:10" x14ac:dyDescent="0.35">
      <c r="A177" s="2">
        <v>176</v>
      </c>
      <c r="B177" s="2" t="s">
        <v>173</v>
      </c>
      <c r="C177" s="2">
        <v>9</v>
      </c>
      <c r="D177" s="2">
        <v>7</v>
      </c>
      <c r="E177" s="2">
        <v>2018</v>
      </c>
      <c r="F177" s="2">
        <v>3199.99</v>
      </c>
      <c r="I177" t="str">
        <f t="shared" si="4"/>
        <v>176Trek Madone 9 Frameset - 20189720183199.99</v>
      </c>
      <c r="J177" t="str">
        <f t="shared" si="5"/>
        <v>Unique</v>
      </c>
    </row>
    <row r="178" spans="1:10" x14ac:dyDescent="0.35">
      <c r="A178" s="2">
        <v>177</v>
      </c>
      <c r="B178" s="2" t="s">
        <v>174</v>
      </c>
      <c r="C178" s="2">
        <v>9</v>
      </c>
      <c r="D178" s="2">
        <v>7</v>
      </c>
      <c r="E178" s="2">
        <v>2018</v>
      </c>
      <c r="F178" s="2">
        <v>5499.99</v>
      </c>
      <c r="I178" t="str">
        <f t="shared" si="4"/>
        <v>177Trek Domane SLR 6 Disc - 20189720185499.99</v>
      </c>
      <c r="J178" t="str">
        <f t="shared" si="5"/>
        <v>Unique</v>
      </c>
    </row>
    <row r="179" spans="1:10" x14ac:dyDescent="0.35">
      <c r="A179" s="2">
        <v>178</v>
      </c>
      <c r="B179" s="2" t="s">
        <v>175</v>
      </c>
      <c r="C179" s="2">
        <v>9</v>
      </c>
      <c r="D179" s="2">
        <v>7</v>
      </c>
      <c r="E179" s="2">
        <v>2018</v>
      </c>
      <c r="F179" s="2">
        <v>749.99</v>
      </c>
      <c r="I179" t="str">
        <f t="shared" si="4"/>
        <v>178Trek Domane AL 2 - 2018972018749.99</v>
      </c>
      <c r="J179" t="str">
        <f t="shared" si="5"/>
        <v>Unique</v>
      </c>
    </row>
    <row r="180" spans="1:10" x14ac:dyDescent="0.35">
      <c r="A180" s="2">
        <v>179</v>
      </c>
      <c r="B180" s="2" t="s">
        <v>176</v>
      </c>
      <c r="C180" s="2">
        <v>9</v>
      </c>
      <c r="D180" s="2">
        <v>7</v>
      </c>
      <c r="E180" s="2">
        <v>2018</v>
      </c>
      <c r="F180" s="2">
        <v>919.99</v>
      </c>
      <c r="I180" t="str">
        <f t="shared" si="4"/>
        <v>179Trek Domane AL 3 - 2018972018919.99</v>
      </c>
      <c r="J180" t="str">
        <f t="shared" si="5"/>
        <v>Unique</v>
      </c>
    </row>
    <row r="181" spans="1:10" x14ac:dyDescent="0.35">
      <c r="A181" s="2">
        <v>180</v>
      </c>
      <c r="B181" s="2" t="s">
        <v>177</v>
      </c>
      <c r="C181" s="2">
        <v>9</v>
      </c>
      <c r="D181" s="2">
        <v>7</v>
      </c>
      <c r="E181" s="2">
        <v>2018</v>
      </c>
      <c r="F181" s="2">
        <v>919.99</v>
      </c>
      <c r="I181" t="str">
        <f t="shared" si="4"/>
        <v>180Trek Domane AL 3 Women's - 2018972018919.99</v>
      </c>
      <c r="J181" t="str">
        <f t="shared" si="5"/>
        <v>Unique</v>
      </c>
    </row>
    <row r="182" spans="1:10" x14ac:dyDescent="0.35">
      <c r="A182" s="2">
        <v>181</v>
      </c>
      <c r="B182" s="2" t="s">
        <v>178</v>
      </c>
      <c r="C182" s="2">
        <v>9</v>
      </c>
      <c r="D182" s="2">
        <v>7</v>
      </c>
      <c r="E182" s="2">
        <v>2018</v>
      </c>
      <c r="F182" s="2">
        <v>2199.9899999999998</v>
      </c>
      <c r="I182" t="str">
        <f t="shared" si="4"/>
        <v>181Trek Domane SL 5 - 20189720182199.99</v>
      </c>
      <c r="J182" t="str">
        <f t="shared" si="5"/>
        <v>Unique</v>
      </c>
    </row>
    <row r="183" spans="1:10" x14ac:dyDescent="0.35">
      <c r="A183" s="2">
        <v>182</v>
      </c>
      <c r="B183" s="2" t="s">
        <v>179</v>
      </c>
      <c r="C183" s="2">
        <v>9</v>
      </c>
      <c r="D183" s="2">
        <v>7</v>
      </c>
      <c r="E183" s="2">
        <v>2018</v>
      </c>
      <c r="F183" s="2">
        <v>2499.9899999999998</v>
      </c>
      <c r="I183" t="str">
        <f t="shared" si="4"/>
        <v>182Trek Domane SL 5 Disc - 20189720182499.99</v>
      </c>
      <c r="J183" t="str">
        <f t="shared" si="5"/>
        <v>Unique</v>
      </c>
    </row>
    <row r="184" spans="1:10" x14ac:dyDescent="0.35">
      <c r="A184" s="2">
        <v>183</v>
      </c>
      <c r="B184" s="2" t="s">
        <v>180</v>
      </c>
      <c r="C184" s="2">
        <v>9</v>
      </c>
      <c r="D184" s="2">
        <v>7</v>
      </c>
      <c r="E184" s="2">
        <v>2018</v>
      </c>
      <c r="F184" s="2">
        <v>2199.9899999999998</v>
      </c>
      <c r="I184" t="str">
        <f t="shared" si="4"/>
        <v>183Trek Domane SL 5 Women's - 20189720182199.99</v>
      </c>
      <c r="J184" t="str">
        <f t="shared" si="5"/>
        <v>Unique</v>
      </c>
    </row>
    <row r="185" spans="1:10" x14ac:dyDescent="0.35">
      <c r="A185" s="2">
        <v>184</v>
      </c>
      <c r="B185" s="2" t="s">
        <v>181</v>
      </c>
      <c r="C185" s="2">
        <v>9</v>
      </c>
      <c r="D185" s="2">
        <v>7</v>
      </c>
      <c r="E185" s="2">
        <v>2018</v>
      </c>
      <c r="F185" s="2">
        <v>3499.99</v>
      </c>
      <c r="I185" t="str">
        <f t="shared" si="4"/>
        <v>184Trek Domane SL 6 Disc - 20189720183499.99</v>
      </c>
      <c r="J185" t="str">
        <f t="shared" si="5"/>
        <v>Unique</v>
      </c>
    </row>
    <row r="186" spans="1:10" x14ac:dyDescent="0.35">
      <c r="A186" s="2">
        <v>185</v>
      </c>
      <c r="B186" s="2" t="s">
        <v>182</v>
      </c>
      <c r="C186" s="2">
        <v>9</v>
      </c>
      <c r="D186" s="2">
        <v>5</v>
      </c>
      <c r="E186" s="2">
        <v>2018</v>
      </c>
      <c r="F186" s="2">
        <v>2799.99</v>
      </c>
      <c r="I186" t="str">
        <f t="shared" si="4"/>
        <v>185Trek Conduit+ - 20189520182799.99</v>
      </c>
      <c r="J186" t="str">
        <f t="shared" si="5"/>
        <v>Unique</v>
      </c>
    </row>
    <row r="187" spans="1:10" x14ac:dyDescent="0.35">
      <c r="A187" s="2">
        <v>186</v>
      </c>
      <c r="B187" s="2" t="s">
        <v>183</v>
      </c>
      <c r="C187" s="2">
        <v>9</v>
      </c>
      <c r="D187" s="2">
        <v>5</v>
      </c>
      <c r="E187" s="2">
        <v>2018</v>
      </c>
      <c r="F187" s="2">
        <v>4499.99</v>
      </c>
      <c r="I187" t="str">
        <f t="shared" si="4"/>
        <v>186Trek CrossRip+ - 20189520184499.99</v>
      </c>
      <c r="J187" t="str">
        <f t="shared" si="5"/>
        <v>Unique</v>
      </c>
    </row>
    <row r="188" spans="1:10" x14ac:dyDescent="0.35">
      <c r="A188" s="2">
        <v>187</v>
      </c>
      <c r="B188" s="2" t="s">
        <v>184</v>
      </c>
      <c r="C188" s="2">
        <v>9</v>
      </c>
      <c r="D188" s="2">
        <v>5</v>
      </c>
      <c r="E188" s="2">
        <v>2018</v>
      </c>
      <c r="F188" s="2">
        <v>2799.99</v>
      </c>
      <c r="I188" t="str">
        <f t="shared" si="4"/>
        <v>187Trek Neko+ - 20189520182799.99</v>
      </c>
      <c r="J188" t="str">
        <f t="shared" si="5"/>
        <v>Unique</v>
      </c>
    </row>
    <row r="189" spans="1:10" x14ac:dyDescent="0.35">
      <c r="A189" s="2">
        <v>188</v>
      </c>
      <c r="B189" s="2" t="s">
        <v>185</v>
      </c>
      <c r="C189" s="2">
        <v>9</v>
      </c>
      <c r="D189" s="2">
        <v>5</v>
      </c>
      <c r="E189" s="2">
        <v>2018</v>
      </c>
      <c r="F189" s="2">
        <v>3499.99</v>
      </c>
      <c r="I189" t="str">
        <f t="shared" si="4"/>
        <v>188Trek XM700+ Lowstep - 20189520183499.99</v>
      </c>
      <c r="J189" t="str">
        <f t="shared" si="5"/>
        <v>Unique</v>
      </c>
    </row>
    <row r="190" spans="1:10" x14ac:dyDescent="0.35">
      <c r="A190" s="2">
        <v>189</v>
      </c>
      <c r="B190" s="2" t="s">
        <v>186</v>
      </c>
      <c r="C190" s="2">
        <v>9</v>
      </c>
      <c r="D190" s="2">
        <v>5</v>
      </c>
      <c r="E190" s="2">
        <v>2018</v>
      </c>
      <c r="F190" s="2">
        <v>2799.99</v>
      </c>
      <c r="I190" t="str">
        <f t="shared" si="4"/>
        <v>189Trek Lift+ Lowstep - 20189520182799.99</v>
      </c>
      <c r="J190" t="str">
        <f t="shared" si="5"/>
        <v>Unique</v>
      </c>
    </row>
    <row r="191" spans="1:10" x14ac:dyDescent="0.35">
      <c r="A191" s="2">
        <v>190</v>
      </c>
      <c r="B191" s="2" t="s">
        <v>187</v>
      </c>
      <c r="C191" s="2">
        <v>9</v>
      </c>
      <c r="D191" s="2">
        <v>5</v>
      </c>
      <c r="E191" s="2">
        <v>2018</v>
      </c>
      <c r="F191" s="2">
        <v>2799.99</v>
      </c>
      <c r="I191" t="str">
        <f t="shared" si="4"/>
        <v>190Trek Dual Sport+ - 20189520182799.99</v>
      </c>
      <c r="J191" t="str">
        <f t="shared" si="5"/>
        <v>Unique</v>
      </c>
    </row>
    <row r="192" spans="1:10" x14ac:dyDescent="0.35">
      <c r="A192" s="2">
        <v>191</v>
      </c>
      <c r="B192" s="2" t="s">
        <v>188</v>
      </c>
      <c r="C192" s="2">
        <v>1</v>
      </c>
      <c r="D192" s="2">
        <v>5</v>
      </c>
      <c r="E192" s="2">
        <v>2018</v>
      </c>
      <c r="F192" s="2">
        <v>2799.99</v>
      </c>
      <c r="I192" t="str">
        <f t="shared" si="4"/>
        <v>191Electra Loft Go! 8i - 20181520182799.99</v>
      </c>
      <c r="J192" t="str">
        <f t="shared" si="5"/>
        <v>Unique</v>
      </c>
    </row>
    <row r="193" spans="1:10" x14ac:dyDescent="0.35">
      <c r="A193" s="2">
        <v>192</v>
      </c>
      <c r="B193" s="2" t="s">
        <v>189</v>
      </c>
      <c r="C193" s="2">
        <v>1</v>
      </c>
      <c r="D193" s="2">
        <v>5</v>
      </c>
      <c r="E193" s="2">
        <v>2018</v>
      </c>
      <c r="F193" s="2">
        <v>2599.9899999999998</v>
      </c>
      <c r="I193" t="str">
        <f t="shared" si="4"/>
        <v>192Electra Townie Go! 8i - 2017/20181520182599.99</v>
      </c>
      <c r="J193" t="str">
        <f t="shared" si="5"/>
        <v>Unique</v>
      </c>
    </row>
    <row r="194" spans="1:10" x14ac:dyDescent="0.35">
      <c r="A194" s="2">
        <v>193</v>
      </c>
      <c r="B194" s="2" t="s">
        <v>190</v>
      </c>
      <c r="C194" s="2">
        <v>9</v>
      </c>
      <c r="D194" s="2">
        <v>5</v>
      </c>
      <c r="E194" s="2">
        <v>2018</v>
      </c>
      <c r="F194" s="2">
        <v>2799.99</v>
      </c>
      <c r="I194" t="str">
        <f t="shared" si="4"/>
        <v>193Trek Lift+ - 20189520182799.99</v>
      </c>
      <c r="J194" t="str">
        <f t="shared" si="5"/>
        <v>Unique</v>
      </c>
    </row>
    <row r="195" spans="1:10" x14ac:dyDescent="0.35">
      <c r="A195" s="2">
        <v>194</v>
      </c>
      <c r="B195" s="2" t="s">
        <v>191</v>
      </c>
      <c r="C195" s="2">
        <v>9</v>
      </c>
      <c r="D195" s="2">
        <v>5</v>
      </c>
      <c r="E195" s="2">
        <v>2018</v>
      </c>
      <c r="F195" s="2">
        <v>3499.99</v>
      </c>
      <c r="I195" t="str">
        <f t="shared" ref="I195:I258" si="6">A195&amp;B195&amp;C195&amp;D195&amp;E195&amp;F195</f>
        <v>194Trek XM700+ - 20189520183499.99</v>
      </c>
      <c r="J195" t="str">
        <f t="shared" ref="J195:J258" si="7">IF(COUNTIF($I$2:$I$322,I195)&gt;1,"Duplicate","Unique")</f>
        <v>Unique</v>
      </c>
    </row>
    <row r="196" spans="1:10" x14ac:dyDescent="0.35">
      <c r="A196" s="2">
        <v>195</v>
      </c>
      <c r="B196" s="2" t="s">
        <v>192</v>
      </c>
      <c r="C196" s="2">
        <v>1</v>
      </c>
      <c r="D196" s="2">
        <v>5</v>
      </c>
      <c r="E196" s="2">
        <v>2018</v>
      </c>
      <c r="F196" s="2">
        <v>2599.9899999999998</v>
      </c>
      <c r="I196" t="str">
        <f t="shared" si="6"/>
        <v>195Electra Townie Go! 8i Ladies' - 20181520182599.99</v>
      </c>
      <c r="J196" t="str">
        <f t="shared" si="7"/>
        <v>Unique</v>
      </c>
    </row>
    <row r="197" spans="1:10" x14ac:dyDescent="0.35">
      <c r="A197" s="2">
        <v>196</v>
      </c>
      <c r="B197" s="2" t="s">
        <v>193</v>
      </c>
      <c r="C197" s="2">
        <v>9</v>
      </c>
      <c r="D197" s="2">
        <v>5</v>
      </c>
      <c r="E197" s="2">
        <v>2018</v>
      </c>
      <c r="F197" s="2">
        <v>2299.9899999999998</v>
      </c>
      <c r="I197" t="str">
        <f t="shared" si="6"/>
        <v>196Trek Verve+ - 20189520182299.99</v>
      </c>
      <c r="J197" t="str">
        <f t="shared" si="7"/>
        <v>Unique</v>
      </c>
    </row>
    <row r="198" spans="1:10" x14ac:dyDescent="0.35">
      <c r="A198" s="2">
        <v>197</v>
      </c>
      <c r="B198" s="2" t="s">
        <v>194</v>
      </c>
      <c r="C198" s="2">
        <v>9</v>
      </c>
      <c r="D198" s="2">
        <v>5</v>
      </c>
      <c r="E198" s="2">
        <v>2018</v>
      </c>
      <c r="F198" s="2">
        <v>2299.9899999999998</v>
      </c>
      <c r="I198" t="str">
        <f t="shared" si="6"/>
        <v>197Trek Verve+ Lowstep - 20189520182299.99</v>
      </c>
      <c r="J198" t="str">
        <f t="shared" si="7"/>
        <v>Unique</v>
      </c>
    </row>
    <row r="199" spans="1:10" x14ac:dyDescent="0.35">
      <c r="A199" s="2">
        <v>198</v>
      </c>
      <c r="B199" s="2" t="s">
        <v>195</v>
      </c>
      <c r="C199" s="2">
        <v>1</v>
      </c>
      <c r="D199" s="2">
        <v>5</v>
      </c>
      <c r="E199" s="2">
        <v>2018</v>
      </c>
      <c r="F199" s="2">
        <v>2999.99</v>
      </c>
      <c r="I199" t="str">
        <f t="shared" si="6"/>
        <v>198Electra Townie Commute Go! - 20181520182999.99</v>
      </c>
      <c r="J199" t="str">
        <f t="shared" si="7"/>
        <v>Unique</v>
      </c>
    </row>
    <row r="200" spans="1:10" x14ac:dyDescent="0.35">
      <c r="A200" s="2">
        <v>199</v>
      </c>
      <c r="B200" s="2" t="s">
        <v>196</v>
      </c>
      <c r="C200" s="2">
        <v>1</v>
      </c>
      <c r="D200" s="2">
        <v>5</v>
      </c>
      <c r="E200" s="2">
        <v>2018</v>
      </c>
      <c r="F200" s="2">
        <v>2999.99</v>
      </c>
      <c r="I200" t="str">
        <f t="shared" si="6"/>
        <v>199Electra Townie Commute Go! Ladies' - 20181520182999.99</v>
      </c>
      <c r="J200" t="str">
        <f t="shared" si="7"/>
        <v>Unique</v>
      </c>
    </row>
    <row r="201" spans="1:10" x14ac:dyDescent="0.35">
      <c r="A201" s="2">
        <v>200</v>
      </c>
      <c r="B201" s="2" t="s">
        <v>197</v>
      </c>
      <c r="C201" s="2">
        <v>9</v>
      </c>
      <c r="D201" s="2">
        <v>5</v>
      </c>
      <c r="E201" s="2">
        <v>2018</v>
      </c>
      <c r="F201" s="2">
        <v>3499.99</v>
      </c>
      <c r="I201" t="str">
        <f t="shared" si="6"/>
        <v>200Trek Powerfly 5 - 20189520183499.99</v>
      </c>
      <c r="J201" t="str">
        <f t="shared" si="7"/>
        <v>Unique</v>
      </c>
    </row>
    <row r="202" spans="1:10" x14ac:dyDescent="0.35">
      <c r="A202" s="2">
        <v>201</v>
      </c>
      <c r="B202" s="2" t="s">
        <v>198</v>
      </c>
      <c r="C202" s="2">
        <v>9</v>
      </c>
      <c r="D202" s="2">
        <v>5</v>
      </c>
      <c r="E202" s="2">
        <v>2018</v>
      </c>
      <c r="F202" s="2">
        <v>4499.99</v>
      </c>
      <c r="I202" t="str">
        <f t="shared" si="6"/>
        <v>201Trek Powerfly 5 FS - 20189520184499.99</v>
      </c>
      <c r="J202" t="str">
        <f t="shared" si="7"/>
        <v>Unique</v>
      </c>
    </row>
    <row r="203" spans="1:10" x14ac:dyDescent="0.35">
      <c r="A203" s="2">
        <v>202</v>
      </c>
      <c r="B203" s="2" t="s">
        <v>199</v>
      </c>
      <c r="C203" s="2">
        <v>9</v>
      </c>
      <c r="D203" s="2">
        <v>5</v>
      </c>
      <c r="E203" s="2">
        <v>2018</v>
      </c>
      <c r="F203" s="2">
        <v>3499.99</v>
      </c>
      <c r="I203" t="str">
        <f t="shared" si="6"/>
        <v>202Trek Powerfly 5 Women's - 20189520183499.99</v>
      </c>
      <c r="J203" t="str">
        <f t="shared" si="7"/>
        <v>Unique</v>
      </c>
    </row>
    <row r="204" spans="1:10" x14ac:dyDescent="0.35">
      <c r="A204" s="2">
        <v>203</v>
      </c>
      <c r="B204" s="2" t="s">
        <v>200</v>
      </c>
      <c r="C204" s="2">
        <v>9</v>
      </c>
      <c r="D204" s="2">
        <v>5</v>
      </c>
      <c r="E204" s="2">
        <v>2018</v>
      </c>
      <c r="F204" s="2">
        <v>4999.99</v>
      </c>
      <c r="I204" t="str">
        <f t="shared" si="6"/>
        <v>203Trek Powerfly 7 FS - 20189520184999.99</v>
      </c>
      <c r="J204" t="str">
        <f t="shared" si="7"/>
        <v>Unique</v>
      </c>
    </row>
    <row r="205" spans="1:10" x14ac:dyDescent="0.35">
      <c r="A205" s="2">
        <v>204</v>
      </c>
      <c r="B205" s="2" t="s">
        <v>201</v>
      </c>
      <c r="C205" s="2">
        <v>9</v>
      </c>
      <c r="D205" s="2">
        <v>5</v>
      </c>
      <c r="E205" s="2">
        <v>2018</v>
      </c>
      <c r="F205" s="2">
        <v>3599.99</v>
      </c>
      <c r="I205" t="str">
        <f t="shared" si="6"/>
        <v>204Trek Super Commuter+ 7 - 20189520183599.99</v>
      </c>
      <c r="J205" t="str">
        <f t="shared" si="7"/>
        <v>Unique</v>
      </c>
    </row>
    <row r="206" spans="1:10" x14ac:dyDescent="0.35">
      <c r="A206" s="2">
        <v>205</v>
      </c>
      <c r="B206" s="2" t="s">
        <v>202</v>
      </c>
      <c r="C206" s="2">
        <v>9</v>
      </c>
      <c r="D206" s="2">
        <v>5</v>
      </c>
      <c r="E206" s="2">
        <v>2018</v>
      </c>
      <c r="F206" s="2">
        <v>4999.99</v>
      </c>
      <c r="I206" t="str">
        <f t="shared" si="6"/>
        <v>205Trek Super Commuter+ 8S - 20189520184999.99</v>
      </c>
      <c r="J206" t="str">
        <f t="shared" si="7"/>
        <v>Unique</v>
      </c>
    </row>
    <row r="207" spans="1:10" x14ac:dyDescent="0.35">
      <c r="A207" s="2">
        <v>206</v>
      </c>
      <c r="B207" s="2" t="s">
        <v>203</v>
      </c>
      <c r="C207" s="2">
        <v>9</v>
      </c>
      <c r="D207" s="2">
        <v>4</v>
      </c>
      <c r="E207" s="2">
        <v>2018</v>
      </c>
      <c r="F207" s="2">
        <v>3299.99</v>
      </c>
      <c r="I207" t="str">
        <f t="shared" si="6"/>
        <v>206Trek Boone 5 Disc - 20189420183299.99</v>
      </c>
      <c r="J207" t="str">
        <f t="shared" si="7"/>
        <v>Unique</v>
      </c>
    </row>
    <row r="208" spans="1:10" x14ac:dyDescent="0.35">
      <c r="A208" s="2">
        <v>207</v>
      </c>
      <c r="B208" s="2" t="s">
        <v>204</v>
      </c>
      <c r="C208" s="2">
        <v>9</v>
      </c>
      <c r="D208" s="2">
        <v>4</v>
      </c>
      <c r="E208" s="2">
        <v>2018</v>
      </c>
      <c r="F208" s="2">
        <v>3999.99</v>
      </c>
      <c r="I208" t="str">
        <f t="shared" si="6"/>
        <v>207Trek Boone 7 Disc - 20189420183999.99</v>
      </c>
      <c r="J208" t="str">
        <f t="shared" si="7"/>
        <v>Unique</v>
      </c>
    </row>
    <row r="209" spans="1:10" x14ac:dyDescent="0.35">
      <c r="A209" s="2">
        <v>208</v>
      </c>
      <c r="B209" s="2" t="s">
        <v>205</v>
      </c>
      <c r="C209" s="2">
        <v>9</v>
      </c>
      <c r="D209" s="2">
        <v>4</v>
      </c>
      <c r="E209" s="2">
        <v>2018</v>
      </c>
      <c r="F209" s="2">
        <v>1799.99</v>
      </c>
      <c r="I209" t="str">
        <f t="shared" si="6"/>
        <v>208Trek Crockett 5 Disc - 20189420181799.99</v>
      </c>
      <c r="J209" t="str">
        <f t="shared" si="7"/>
        <v>Unique</v>
      </c>
    </row>
    <row r="210" spans="1:10" x14ac:dyDescent="0.35">
      <c r="A210" s="2">
        <v>209</v>
      </c>
      <c r="B210" s="2" t="s">
        <v>206</v>
      </c>
      <c r="C210" s="2">
        <v>9</v>
      </c>
      <c r="D210" s="2">
        <v>4</v>
      </c>
      <c r="E210" s="2">
        <v>2018</v>
      </c>
      <c r="F210" s="2">
        <v>2999.99</v>
      </c>
      <c r="I210" t="str">
        <f t="shared" si="6"/>
        <v>209Trek Crockett 7 Disc - 20189420182999.99</v>
      </c>
      <c r="J210" t="str">
        <f t="shared" si="7"/>
        <v>Unique</v>
      </c>
    </row>
    <row r="211" spans="1:10" x14ac:dyDescent="0.35">
      <c r="A211" s="2">
        <v>210</v>
      </c>
      <c r="B211" s="2" t="s">
        <v>165</v>
      </c>
      <c r="C211" s="2">
        <v>8</v>
      </c>
      <c r="D211" s="2">
        <v>4</v>
      </c>
      <c r="E211" s="2">
        <v>2018</v>
      </c>
      <c r="F211" s="2">
        <v>1549</v>
      </c>
      <c r="I211" t="str">
        <f t="shared" si="6"/>
        <v>210Surly Straggler - 20188420181549</v>
      </c>
      <c r="J211" t="str">
        <f t="shared" si="7"/>
        <v>Unique</v>
      </c>
    </row>
    <row r="212" spans="1:10" x14ac:dyDescent="0.35">
      <c r="A212" s="2">
        <v>211</v>
      </c>
      <c r="B212" s="2" t="s">
        <v>161</v>
      </c>
      <c r="C212" s="2">
        <v>8</v>
      </c>
      <c r="D212" s="2">
        <v>4</v>
      </c>
      <c r="E212" s="2">
        <v>2018</v>
      </c>
      <c r="F212" s="2">
        <v>1549</v>
      </c>
      <c r="I212" t="str">
        <f t="shared" si="6"/>
        <v>211Surly Straggler 650b - 20188420181549</v>
      </c>
      <c r="J212" t="str">
        <f t="shared" si="7"/>
        <v>Unique</v>
      </c>
    </row>
    <row r="213" spans="1:10" x14ac:dyDescent="0.35">
      <c r="A213" s="2">
        <v>212</v>
      </c>
      <c r="B213" s="2" t="s">
        <v>207</v>
      </c>
      <c r="C213" s="2">
        <v>1</v>
      </c>
      <c r="D213" s="2">
        <v>3</v>
      </c>
      <c r="E213" s="2">
        <v>2018</v>
      </c>
      <c r="F213" s="2">
        <v>559.99</v>
      </c>
      <c r="I213" t="str">
        <f t="shared" si="6"/>
        <v>212Electra Townie Original 21D - 2018132018559.99</v>
      </c>
      <c r="J213" t="str">
        <f t="shared" si="7"/>
        <v>Unique</v>
      </c>
    </row>
    <row r="214" spans="1:10" x14ac:dyDescent="0.35">
      <c r="A214" s="2">
        <v>213</v>
      </c>
      <c r="B214" s="2" t="s">
        <v>208</v>
      </c>
      <c r="C214" s="2">
        <v>1</v>
      </c>
      <c r="D214" s="2">
        <v>3</v>
      </c>
      <c r="E214" s="2">
        <v>2018</v>
      </c>
      <c r="F214" s="2">
        <v>269.99</v>
      </c>
      <c r="I214" t="str">
        <f t="shared" si="6"/>
        <v>213Electra Cruiser 1 - 2016/2017/2018132018269.99</v>
      </c>
      <c r="J214" t="str">
        <f t="shared" si="7"/>
        <v>Unique</v>
      </c>
    </row>
    <row r="215" spans="1:10" x14ac:dyDescent="0.35">
      <c r="A215" s="2">
        <v>214</v>
      </c>
      <c r="B215" s="2" t="s">
        <v>209</v>
      </c>
      <c r="C215" s="2">
        <v>1</v>
      </c>
      <c r="D215" s="2">
        <v>3</v>
      </c>
      <c r="E215" s="2">
        <v>2018</v>
      </c>
      <c r="F215" s="2">
        <v>899.99</v>
      </c>
      <c r="I215" t="str">
        <f t="shared" si="6"/>
        <v>214Electra Tiger Shark 3i - 2018132018899.99</v>
      </c>
      <c r="J215" t="str">
        <f t="shared" si="7"/>
        <v>Unique</v>
      </c>
    </row>
    <row r="216" spans="1:10" x14ac:dyDescent="0.35">
      <c r="A216" s="2">
        <v>215</v>
      </c>
      <c r="B216" s="2" t="s">
        <v>210</v>
      </c>
      <c r="C216" s="2">
        <v>1</v>
      </c>
      <c r="D216" s="2">
        <v>3</v>
      </c>
      <c r="E216" s="2">
        <v>2018</v>
      </c>
      <c r="F216" s="2">
        <v>749.99</v>
      </c>
      <c r="I216" t="str">
        <f t="shared" si="6"/>
        <v>215Electra Queen of Hearts 3i - 2018132018749.99</v>
      </c>
      <c r="J216" t="str">
        <f t="shared" si="7"/>
        <v>Unique</v>
      </c>
    </row>
    <row r="217" spans="1:10" x14ac:dyDescent="0.35">
      <c r="A217" s="2">
        <v>216</v>
      </c>
      <c r="B217" s="2" t="s">
        <v>211</v>
      </c>
      <c r="C217" s="2">
        <v>1</v>
      </c>
      <c r="D217" s="2">
        <v>3</v>
      </c>
      <c r="E217" s="2">
        <v>2018</v>
      </c>
      <c r="F217" s="2">
        <v>899.99</v>
      </c>
      <c r="I217" t="str">
        <f t="shared" si="6"/>
        <v>216Electra Super Moto 8i - 2018132018899.99</v>
      </c>
      <c r="J217" t="str">
        <f t="shared" si="7"/>
        <v>Unique</v>
      </c>
    </row>
    <row r="218" spans="1:10" x14ac:dyDescent="0.35">
      <c r="A218" s="2">
        <v>217</v>
      </c>
      <c r="B218" s="2" t="s">
        <v>212</v>
      </c>
      <c r="C218" s="2">
        <v>1</v>
      </c>
      <c r="D218" s="2">
        <v>3</v>
      </c>
      <c r="E218" s="2">
        <v>2018</v>
      </c>
      <c r="F218" s="2">
        <v>909.99</v>
      </c>
      <c r="I218" t="str">
        <f t="shared" si="6"/>
        <v>217Electra Straight 8 3i - 2018132018909.99</v>
      </c>
      <c r="J218" t="str">
        <f t="shared" si="7"/>
        <v>Unique</v>
      </c>
    </row>
    <row r="219" spans="1:10" x14ac:dyDescent="0.35">
      <c r="A219" s="2">
        <v>218</v>
      </c>
      <c r="B219" s="2" t="s">
        <v>213</v>
      </c>
      <c r="C219" s="2">
        <v>1</v>
      </c>
      <c r="D219" s="2">
        <v>3</v>
      </c>
      <c r="E219" s="2">
        <v>2018</v>
      </c>
      <c r="F219" s="2">
        <v>319.99</v>
      </c>
      <c r="I219" t="str">
        <f t="shared" si="6"/>
        <v>218Electra Cruiser 7D - 2016/2017/2018132018319.99</v>
      </c>
      <c r="J219" t="str">
        <f t="shared" si="7"/>
        <v>Unique</v>
      </c>
    </row>
    <row r="220" spans="1:10" x14ac:dyDescent="0.35">
      <c r="A220" s="2">
        <v>219</v>
      </c>
      <c r="B220" s="2" t="s">
        <v>214</v>
      </c>
      <c r="C220" s="2">
        <v>1</v>
      </c>
      <c r="D220" s="2">
        <v>3</v>
      </c>
      <c r="E220" s="2">
        <v>2018</v>
      </c>
      <c r="F220" s="2">
        <v>639.99</v>
      </c>
      <c r="I220" t="str">
        <f t="shared" si="6"/>
        <v>219Electra Moto 3i - 2018132018639.99</v>
      </c>
      <c r="J220" t="str">
        <f t="shared" si="7"/>
        <v>Unique</v>
      </c>
    </row>
    <row r="221" spans="1:10" x14ac:dyDescent="0.35">
      <c r="A221" s="2">
        <v>220</v>
      </c>
      <c r="B221" s="2" t="s">
        <v>215</v>
      </c>
      <c r="C221" s="2">
        <v>1</v>
      </c>
      <c r="D221" s="2">
        <v>3</v>
      </c>
      <c r="E221" s="2">
        <v>2018</v>
      </c>
      <c r="F221" s="2">
        <v>269.99</v>
      </c>
      <c r="I221" t="str">
        <f t="shared" si="6"/>
        <v>220Electra Cruiser 1 Ladies' - 2018132018269.99</v>
      </c>
      <c r="J221" t="str">
        <f t="shared" si="7"/>
        <v>Unique</v>
      </c>
    </row>
    <row r="222" spans="1:10" x14ac:dyDescent="0.35">
      <c r="A222" s="2">
        <v>221</v>
      </c>
      <c r="B222" s="2" t="s">
        <v>216</v>
      </c>
      <c r="C222" s="2">
        <v>1</v>
      </c>
      <c r="D222" s="2">
        <v>3</v>
      </c>
      <c r="E222" s="2">
        <v>2018</v>
      </c>
      <c r="F222" s="2">
        <v>319.99</v>
      </c>
      <c r="I222" t="str">
        <f t="shared" si="6"/>
        <v>221Electra Cruiser 7D Ladies' - 2016/2018132018319.99</v>
      </c>
      <c r="J222" t="str">
        <f t="shared" si="7"/>
        <v>Unique</v>
      </c>
    </row>
    <row r="223" spans="1:10" x14ac:dyDescent="0.35">
      <c r="A223" s="2">
        <v>222</v>
      </c>
      <c r="B223" s="2" t="s">
        <v>217</v>
      </c>
      <c r="C223" s="2">
        <v>1</v>
      </c>
      <c r="D223" s="2">
        <v>3</v>
      </c>
      <c r="E223" s="2">
        <v>2018</v>
      </c>
      <c r="F223" s="2">
        <v>269.99</v>
      </c>
      <c r="I223" t="str">
        <f t="shared" si="6"/>
        <v>222Electra Cruiser 1 Tall - 2016/2018132018269.99</v>
      </c>
      <c r="J223" t="str">
        <f t="shared" si="7"/>
        <v>Unique</v>
      </c>
    </row>
    <row r="224" spans="1:10" x14ac:dyDescent="0.35">
      <c r="A224" s="2">
        <v>223</v>
      </c>
      <c r="B224" s="2" t="s">
        <v>218</v>
      </c>
      <c r="C224" s="2">
        <v>1</v>
      </c>
      <c r="D224" s="2">
        <v>3</v>
      </c>
      <c r="E224" s="2">
        <v>2018</v>
      </c>
      <c r="F224" s="2">
        <v>529.99</v>
      </c>
      <c r="I224" t="str">
        <f t="shared" si="6"/>
        <v>223Electra Cruiser Lux 3i - 2018132018529.99</v>
      </c>
      <c r="J224" t="str">
        <f t="shared" si="7"/>
        <v>Unique</v>
      </c>
    </row>
    <row r="225" spans="1:10" x14ac:dyDescent="0.35">
      <c r="A225" s="2">
        <v>224</v>
      </c>
      <c r="B225" s="2" t="s">
        <v>219</v>
      </c>
      <c r="C225" s="2">
        <v>1</v>
      </c>
      <c r="D225" s="2">
        <v>3</v>
      </c>
      <c r="E225" s="2">
        <v>2018</v>
      </c>
      <c r="F225" s="2">
        <v>479.99</v>
      </c>
      <c r="I225" t="str">
        <f t="shared" si="6"/>
        <v>224Electra Cruiser Lux 7D - 2018132018479.99</v>
      </c>
      <c r="J225" t="str">
        <f t="shared" si="7"/>
        <v>Unique</v>
      </c>
    </row>
    <row r="226" spans="1:10" x14ac:dyDescent="0.35">
      <c r="A226" s="2">
        <v>225</v>
      </c>
      <c r="B226" s="2" t="s">
        <v>220</v>
      </c>
      <c r="C226" s="2">
        <v>1</v>
      </c>
      <c r="D226" s="2">
        <v>3</v>
      </c>
      <c r="E226" s="2">
        <v>2018</v>
      </c>
      <c r="F226" s="2">
        <v>959.99</v>
      </c>
      <c r="I226" t="str">
        <f t="shared" si="6"/>
        <v>225Electra Delivery 3i - 2016/2017/2018132018959.99</v>
      </c>
      <c r="J226" t="str">
        <f t="shared" si="7"/>
        <v>Unique</v>
      </c>
    </row>
    <row r="227" spans="1:10" x14ac:dyDescent="0.35">
      <c r="A227" s="2">
        <v>226</v>
      </c>
      <c r="B227" s="2" t="s">
        <v>221</v>
      </c>
      <c r="C227" s="2">
        <v>1</v>
      </c>
      <c r="D227" s="2">
        <v>3</v>
      </c>
      <c r="E227" s="2">
        <v>2018</v>
      </c>
      <c r="F227" s="2">
        <v>679.99</v>
      </c>
      <c r="I227" t="str">
        <f t="shared" si="6"/>
        <v>226Electra Townie Original 21D EQ - 2017/2018132018679.99</v>
      </c>
      <c r="J227" t="str">
        <f t="shared" si="7"/>
        <v>Unique</v>
      </c>
    </row>
    <row r="228" spans="1:10" x14ac:dyDescent="0.35">
      <c r="A228" s="2">
        <v>227</v>
      </c>
      <c r="B228" s="2" t="s">
        <v>222</v>
      </c>
      <c r="C228" s="2">
        <v>1</v>
      </c>
      <c r="D228" s="2">
        <v>3</v>
      </c>
      <c r="E228" s="2">
        <v>2018</v>
      </c>
      <c r="F228" s="2">
        <v>319.99</v>
      </c>
      <c r="I228" t="str">
        <f t="shared" si="6"/>
        <v>227Electra Cruiser 7D (24-Inch) Ladies' - 2016/2018132018319.99</v>
      </c>
      <c r="J228" t="str">
        <f t="shared" si="7"/>
        <v>Unique</v>
      </c>
    </row>
    <row r="229" spans="1:10" x14ac:dyDescent="0.35">
      <c r="A229" s="2">
        <v>228</v>
      </c>
      <c r="B229" s="2" t="s">
        <v>223</v>
      </c>
      <c r="C229" s="2">
        <v>1</v>
      </c>
      <c r="D229" s="2">
        <v>3</v>
      </c>
      <c r="E229" s="2">
        <v>2018</v>
      </c>
      <c r="F229" s="2">
        <v>319.99</v>
      </c>
      <c r="I229" t="str">
        <f t="shared" si="6"/>
        <v>228Electra Cruiser 7D Tall - 2016/2018132018319.99</v>
      </c>
      <c r="J229" t="str">
        <f t="shared" si="7"/>
        <v>Unique</v>
      </c>
    </row>
    <row r="230" spans="1:10" x14ac:dyDescent="0.35">
      <c r="A230" s="2">
        <v>229</v>
      </c>
      <c r="B230" s="2" t="s">
        <v>224</v>
      </c>
      <c r="C230" s="2">
        <v>1</v>
      </c>
      <c r="D230" s="2">
        <v>3</v>
      </c>
      <c r="E230" s="2">
        <v>2018</v>
      </c>
      <c r="F230" s="2">
        <v>429.99</v>
      </c>
      <c r="I230" t="str">
        <f t="shared" si="6"/>
        <v>229Electra Cruiser Lux 1 - 2016/2018132018429.99</v>
      </c>
      <c r="J230" t="str">
        <f t="shared" si="7"/>
        <v>Unique</v>
      </c>
    </row>
    <row r="231" spans="1:10" x14ac:dyDescent="0.35">
      <c r="A231" s="2">
        <v>230</v>
      </c>
      <c r="B231" s="2" t="s">
        <v>225</v>
      </c>
      <c r="C231" s="2">
        <v>1</v>
      </c>
      <c r="D231" s="2">
        <v>3</v>
      </c>
      <c r="E231" s="2">
        <v>2018</v>
      </c>
      <c r="F231" s="2">
        <v>429.99</v>
      </c>
      <c r="I231" t="str">
        <f t="shared" si="6"/>
        <v>230Electra Cruiser Lux 1 Ladies' - 2018132018429.99</v>
      </c>
      <c r="J231" t="str">
        <f t="shared" si="7"/>
        <v>Unique</v>
      </c>
    </row>
    <row r="232" spans="1:10" x14ac:dyDescent="0.35">
      <c r="A232" s="2">
        <v>231</v>
      </c>
      <c r="B232" s="2" t="s">
        <v>226</v>
      </c>
      <c r="C232" s="2">
        <v>1</v>
      </c>
      <c r="D232" s="2">
        <v>3</v>
      </c>
      <c r="E232" s="2">
        <v>2018</v>
      </c>
      <c r="F232" s="2">
        <v>529.99</v>
      </c>
      <c r="I232" t="str">
        <f t="shared" si="6"/>
        <v>231Electra Cruiser Lux 3i Ladies' - 2018132018529.99</v>
      </c>
      <c r="J232" t="str">
        <f t="shared" si="7"/>
        <v>Unique</v>
      </c>
    </row>
    <row r="233" spans="1:10" x14ac:dyDescent="0.35">
      <c r="A233" s="2">
        <v>232</v>
      </c>
      <c r="B233" s="2" t="s">
        <v>227</v>
      </c>
      <c r="C233" s="2">
        <v>1</v>
      </c>
      <c r="D233" s="2">
        <v>3</v>
      </c>
      <c r="E233" s="2">
        <v>2018</v>
      </c>
      <c r="F233" s="2">
        <v>479.99</v>
      </c>
      <c r="I233" t="str">
        <f t="shared" si="6"/>
        <v>232Electra Cruiser Lux 7D Ladies' - 2018132018479.99</v>
      </c>
      <c r="J233" t="str">
        <f t="shared" si="7"/>
        <v>Unique</v>
      </c>
    </row>
    <row r="234" spans="1:10" x14ac:dyDescent="0.35">
      <c r="A234" s="2">
        <v>233</v>
      </c>
      <c r="B234" s="2" t="s">
        <v>228</v>
      </c>
      <c r="C234" s="2">
        <v>1</v>
      </c>
      <c r="D234" s="2">
        <v>3</v>
      </c>
      <c r="E234" s="2">
        <v>2018</v>
      </c>
      <c r="F234" s="2">
        <v>639.99</v>
      </c>
      <c r="I234" t="str">
        <f t="shared" si="6"/>
        <v>233Electra Cruiser Lux Fat Tire 7D - 2018132018639.99</v>
      </c>
      <c r="J234" t="str">
        <f t="shared" si="7"/>
        <v>Unique</v>
      </c>
    </row>
    <row r="235" spans="1:10" x14ac:dyDescent="0.35">
      <c r="A235" s="2">
        <v>234</v>
      </c>
      <c r="B235" s="2" t="s">
        <v>229</v>
      </c>
      <c r="C235" s="2">
        <v>1</v>
      </c>
      <c r="D235" s="2">
        <v>3</v>
      </c>
      <c r="E235" s="2">
        <v>2018</v>
      </c>
      <c r="F235" s="2">
        <v>899.99</v>
      </c>
      <c r="I235" t="str">
        <f t="shared" si="6"/>
        <v>234Electra Daydreamer 3i Ladies' - 2018132018899.99</v>
      </c>
      <c r="J235" t="str">
        <f t="shared" si="7"/>
        <v>Unique</v>
      </c>
    </row>
    <row r="236" spans="1:10" x14ac:dyDescent="0.35">
      <c r="A236" s="2">
        <v>235</v>
      </c>
      <c r="B236" s="2" t="s">
        <v>230</v>
      </c>
      <c r="C236" s="2">
        <v>1</v>
      </c>
      <c r="D236" s="2">
        <v>3</v>
      </c>
      <c r="E236" s="2">
        <v>2018</v>
      </c>
      <c r="F236" s="2">
        <v>899.99</v>
      </c>
      <c r="I236" t="str">
        <f t="shared" si="6"/>
        <v>235Electra Koa 3i Ladies' - 2018132018899.99</v>
      </c>
      <c r="J236" t="str">
        <f t="shared" si="7"/>
        <v>Unique</v>
      </c>
    </row>
    <row r="237" spans="1:10" x14ac:dyDescent="0.35">
      <c r="A237" s="2">
        <v>236</v>
      </c>
      <c r="B237" s="2" t="s">
        <v>231</v>
      </c>
      <c r="C237" s="2">
        <v>1</v>
      </c>
      <c r="D237" s="2">
        <v>3</v>
      </c>
      <c r="E237" s="2">
        <v>2018</v>
      </c>
      <c r="F237" s="2">
        <v>749.99</v>
      </c>
      <c r="I237" t="str">
        <f t="shared" si="6"/>
        <v>236Electra Morningstar 3i Ladies' - 2018132018749.99</v>
      </c>
      <c r="J237" t="str">
        <f t="shared" si="7"/>
        <v>Unique</v>
      </c>
    </row>
    <row r="238" spans="1:10" x14ac:dyDescent="0.35">
      <c r="A238" s="2">
        <v>237</v>
      </c>
      <c r="B238" s="2" t="s">
        <v>232</v>
      </c>
      <c r="C238" s="2">
        <v>1</v>
      </c>
      <c r="D238" s="2">
        <v>3</v>
      </c>
      <c r="E238" s="2">
        <v>2018</v>
      </c>
      <c r="F238" s="2">
        <v>849.99</v>
      </c>
      <c r="I238" t="str">
        <f t="shared" si="6"/>
        <v>237Electra Relic 3i - 2018132018849.99</v>
      </c>
      <c r="J238" t="str">
        <f t="shared" si="7"/>
        <v>Unique</v>
      </c>
    </row>
    <row r="239" spans="1:10" x14ac:dyDescent="0.35">
      <c r="A239" s="2">
        <v>238</v>
      </c>
      <c r="B239" s="2" t="s">
        <v>233</v>
      </c>
      <c r="C239" s="2">
        <v>1</v>
      </c>
      <c r="D239" s="2">
        <v>3</v>
      </c>
      <c r="E239" s="2">
        <v>2018</v>
      </c>
      <c r="F239" s="2">
        <v>749.99</v>
      </c>
      <c r="I239" t="str">
        <f t="shared" si="6"/>
        <v>238Electra Townie Balloon 8D EQ - 2016/2017/2018132018749.99</v>
      </c>
      <c r="J239" t="str">
        <f t="shared" si="7"/>
        <v>Unique</v>
      </c>
    </row>
    <row r="240" spans="1:10" x14ac:dyDescent="0.35">
      <c r="A240" s="2">
        <v>239</v>
      </c>
      <c r="B240" s="2" t="s">
        <v>234</v>
      </c>
      <c r="C240" s="2">
        <v>1</v>
      </c>
      <c r="D240" s="2">
        <v>3</v>
      </c>
      <c r="E240" s="2">
        <v>2018</v>
      </c>
      <c r="F240" s="2">
        <v>749.99</v>
      </c>
      <c r="I240" t="str">
        <f t="shared" si="6"/>
        <v>239Electra Townie Balloon 8D EQ Ladies' - 2016/2017/2018132018749.99</v>
      </c>
      <c r="J240" t="str">
        <f t="shared" si="7"/>
        <v>Unique</v>
      </c>
    </row>
    <row r="241" spans="1:10" x14ac:dyDescent="0.35">
      <c r="A241" s="2">
        <v>240</v>
      </c>
      <c r="B241" s="2" t="s">
        <v>235</v>
      </c>
      <c r="C241" s="2">
        <v>1</v>
      </c>
      <c r="D241" s="2">
        <v>3</v>
      </c>
      <c r="E241" s="2">
        <v>2018</v>
      </c>
      <c r="F241" s="2">
        <v>899.99</v>
      </c>
      <c r="I241" t="str">
        <f t="shared" si="6"/>
        <v>240Electra Townie Commute 27D Ladies - 2018132018899.99</v>
      </c>
      <c r="J241" t="str">
        <f t="shared" si="7"/>
        <v>Unique</v>
      </c>
    </row>
    <row r="242" spans="1:10" x14ac:dyDescent="0.35">
      <c r="A242" s="2">
        <v>241</v>
      </c>
      <c r="B242" s="2" t="s">
        <v>236</v>
      </c>
      <c r="C242" s="2">
        <v>1</v>
      </c>
      <c r="D242" s="2">
        <v>3</v>
      </c>
      <c r="E242" s="2">
        <v>2018</v>
      </c>
      <c r="F242" s="2">
        <v>749.99</v>
      </c>
      <c r="I242" t="str">
        <f t="shared" si="6"/>
        <v>241Electra Townie Commute 8D - 2018132018749.99</v>
      </c>
      <c r="J242" t="str">
        <f t="shared" si="7"/>
        <v>Unique</v>
      </c>
    </row>
    <row r="243" spans="1:10" x14ac:dyDescent="0.35">
      <c r="A243" s="2">
        <v>242</v>
      </c>
      <c r="B243" s="2" t="s">
        <v>237</v>
      </c>
      <c r="C243" s="2">
        <v>1</v>
      </c>
      <c r="D243" s="2">
        <v>3</v>
      </c>
      <c r="E243" s="2">
        <v>2018</v>
      </c>
      <c r="F243" s="2">
        <v>699.99</v>
      </c>
      <c r="I243" t="str">
        <f t="shared" si="6"/>
        <v>242Electra Townie Commute 8D Ladies' - 2018132018699.99</v>
      </c>
      <c r="J243" t="str">
        <f t="shared" si="7"/>
        <v>Unique</v>
      </c>
    </row>
    <row r="244" spans="1:10" x14ac:dyDescent="0.35">
      <c r="A244" s="2">
        <v>243</v>
      </c>
      <c r="B244" s="2" t="s">
        <v>238</v>
      </c>
      <c r="C244" s="2">
        <v>1</v>
      </c>
      <c r="D244" s="2">
        <v>3</v>
      </c>
      <c r="E244" s="2">
        <v>2018</v>
      </c>
      <c r="F244" s="2">
        <v>679.99</v>
      </c>
      <c r="I244" t="str">
        <f t="shared" si="6"/>
        <v>243Electra Townie Original 21D EQ Ladies' - 2018132018679.99</v>
      </c>
      <c r="J244" t="str">
        <f t="shared" si="7"/>
        <v>Unique</v>
      </c>
    </row>
    <row r="245" spans="1:10" x14ac:dyDescent="0.35">
      <c r="A245" s="2">
        <v>244</v>
      </c>
      <c r="B245" s="2" t="s">
        <v>239</v>
      </c>
      <c r="C245" s="2">
        <v>1</v>
      </c>
      <c r="D245" s="2">
        <v>3</v>
      </c>
      <c r="E245" s="2">
        <v>2018</v>
      </c>
      <c r="F245" s="2">
        <v>559.99</v>
      </c>
      <c r="I245" t="str">
        <f t="shared" si="6"/>
        <v>244Electra Townie Original 21D Ladies' - 2018132018559.99</v>
      </c>
      <c r="J245" t="str">
        <f t="shared" si="7"/>
        <v>Unique</v>
      </c>
    </row>
    <row r="246" spans="1:10" x14ac:dyDescent="0.35">
      <c r="A246" s="2">
        <v>245</v>
      </c>
      <c r="B246" s="2" t="s">
        <v>240</v>
      </c>
      <c r="C246" s="2">
        <v>1</v>
      </c>
      <c r="D246" s="2">
        <v>3</v>
      </c>
      <c r="E246" s="2">
        <v>2018</v>
      </c>
      <c r="F246" s="2">
        <v>659.99</v>
      </c>
      <c r="I246" t="str">
        <f t="shared" si="6"/>
        <v>245Electra Townie Original 3i EQ - 2017/2018132018659.99</v>
      </c>
      <c r="J246" t="str">
        <f t="shared" si="7"/>
        <v>Unique</v>
      </c>
    </row>
    <row r="247" spans="1:10" x14ac:dyDescent="0.35">
      <c r="A247" s="2">
        <v>246</v>
      </c>
      <c r="B247" s="2" t="s">
        <v>241</v>
      </c>
      <c r="C247" s="2">
        <v>1</v>
      </c>
      <c r="D247" s="2">
        <v>3</v>
      </c>
      <c r="E247" s="2">
        <v>2018</v>
      </c>
      <c r="F247" s="2">
        <v>639.99</v>
      </c>
      <c r="I247" t="str">
        <f t="shared" si="6"/>
        <v>246Electra Townie Original 3i EQ Ladies' - 2018132018639.99</v>
      </c>
      <c r="J247" t="str">
        <f t="shared" si="7"/>
        <v>Unique</v>
      </c>
    </row>
    <row r="248" spans="1:10" x14ac:dyDescent="0.35">
      <c r="A248" s="2">
        <v>247</v>
      </c>
      <c r="B248" s="2" t="s">
        <v>242</v>
      </c>
      <c r="C248" s="2">
        <v>1</v>
      </c>
      <c r="D248" s="2">
        <v>3</v>
      </c>
      <c r="E248" s="2">
        <v>2018</v>
      </c>
      <c r="F248" s="2">
        <v>599.99</v>
      </c>
      <c r="I248" t="str">
        <f t="shared" si="6"/>
        <v>247Electra Townie Original 7D EQ - 2018132018599.99</v>
      </c>
      <c r="J248" t="str">
        <f t="shared" si="7"/>
        <v>Unique</v>
      </c>
    </row>
    <row r="249" spans="1:10" x14ac:dyDescent="0.35">
      <c r="A249" s="2">
        <v>248</v>
      </c>
      <c r="B249" s="2" t="s">
        <v>243</v>
      </c>
      <c r="C249" s="2">
        <v>1</v>
      </c>
      <c r="D249" s="2">
        <v>3</v>
      </c>
      <c r="E249" s="2">
        <v>2018</v>
      </c>
      <c r="F249" s="2">
        <v>599.99</v>
      </c>
      <c r="I249" t="str">
        <f t="shared" si="6"/>
        <v>248Electra Townie Original 7D EQ Ladies' - 2017/2018132018599.99</v>
      </c>
      <c r="J249" t="str">
        <f t="shared" si="7"/>
        <v>Unique</v>
      </c>
    </row>
    <row r="250" spans="1:10" x14ac:dyDescent="0.35">
      <c r="A250" s="2">
        <v>249</v>
      </c>
      <c r="B250" s="2" t="s">
        <v>244</v>
      </c>
      <c r="C250" s="2">
        <v>1</v>
      </c>
      <c r="D250" s="2">
        <v>3</v>
      </c>
      <c r="E250" s="2">
        <v>2018</v>
      </c>
      <c r="F250" s="2">
        <v>749.99</v>
      </c>
      <c r="I250" t="str">
        <f t="shared" si="6"/>
        <v>249Electra White Water 3i - 2018132018749.99</v>
      </c>
      <c r="J250" t="str">
        <f t="shared" si="7"/>
        <v>Unique</v>
      </c>
    </row>
    <row r="251" spans="1:10" x14ac:dyDescent="0.35">
      <c r="A251" s="2">
        <v>250</v>
      </c>
      <c r="B251" s="2" t="s">
        <v>189</v>
      </c>
      <c r="C251" s="2">
        <v>1</v>
      </c>
      <c r="D251" s="2">
        <v>3</v>
      </c>
      <c r="E251" s="2">
        <v>2018</v>
      </c>
      <c r="F251" s="2">
        <v>2599.9899999999998</v>
      </c>
      <c r="I251" t="str">
        <f t="shared" si="6"/>
        <v>250Electra Townie Go! 8i - 2017/20181320182599.99</v>
      </c>
      <c r="J251" t="str">
        <f t="shared" si="7"/>
        <v>Unique</v>
      </c>
    </row>
    <row r="252" spans="1:10" x14ac:dyDescent="0.35">
      <c r="A252" s="2">
        <v>251</v>
      </c>
      <c r="B252" s="2" t="s">
        <v>195</v>
      </c>
      <c r="C252" s="2">
        <v>1</v>
      </c>
      <c r="D252" s="2">
        <v>3</v>
      </c>
      <c r="E252" s="2">
        <v>2018</v>
      </c>
      <c r="F252" s="2">
        <v>2999.99</v>
      </c>
      <c r="I252" t="str">
        <f t="shared" si="6"/>
        <v>251Electra Townie Commute Go! - 20181320182999.99</v>
      </c>
      <c r="J252" t="str">
        <f t="shared" si="7"/>
        <v>Unique</v>
      </c>
    </row>
    <row r="253" spans="1:10" x14ac:dyDescent="0.35">
      <c r="A253" s="2">
        <v>252</v>
      </c>
      <c r="B253" s="2" t="s">
        <v>196</v>
      </c>
      <c r="C253" s="2">
        <v>1</v>
      </c>
      <c r="D253" s="2">
        <v>3</v>
      </c>
      <c r="E253" s="2">
        <v>2018</v>
      </c>
      <c r="F253" s="2">
        <v>2999.99</v>
      </c>
      <c r="I253" t="str">
        <f t="shared" si="6"/>
        <v>252Electra Townie Commute Go! Ladies' - 20181320182999.99</v>
      </c>
      <c r="J253" t="str">
        <f t="shared" si="7"/>
        <v>Unique</v>
      </c>
    </row>
    <row r="254" spans="1:10" x14ac:dyDescent="0.35">
      <c r="A254" s="2">
        <v>253</v>
      </c>
      <c r="B254" s="2" t="s">
        <v>192</v>
      </c>
      <c r="C254" s="2">
        <v>1</v>
      </c>
      <c r="D254" s="2">
        <v>3</v>
      </c>
      <c r="E254" s="2">
        <v>2018</v>
      </c>
      <c r="F254" s="2">
        <v>2599.9899999999998</v>
      </c>
      <c r="I254" t="str">
        <f t="shared" si="6"/>
        <v>253Electra Townie Go! 8i Ladies' - 20181320182599.99</v>
      </c>
      <c r="J254" t="str">
        <f t="shared" si="7"/>
        <v>Unique</v>
      </c>
    </row>
    <row r="255" spans="1:10" x14ac:dyDescent="0.35">
      <c r="A255" s="2">
        <v>254</v>
      </c>
      <c r="B255" s="2" t="s">
        <v>245</v>
      </c>
      <c r="C255" s="2">
        <v>1</v>
      </c>
      <c r="D255" s="2">
        <v>3</v>
      </c>
      <c r="E255" s="2">
        <v>2018</v>
      </c>
      <c r="F255" s="2">
        <v>749.99</v>
      </c>
      <c r="I255" t="str">
        <f t="shared" si="6"/>
        <v>254Electra Townie Balloon 3i EQ - 2017/2018132018749.99</v>
      </c>
      <c r="J255" t="str">
        <f t="shared" si="7"/>
        <v>Unique</v>
      </c>
    </row>
    <row r="256" spans="1:10" x14ac:dyDescent="0.35">
      <c r="A256" s="2">
        <v>255</v>
      </c>
      <c r="B256" s="2" t="s">
        <v>246</v>
      </c>
      <c r="C256" s="2">
        <v>1</v>
      </c>
      <c r="D256" s="2">
        <v>3</v>
      </c>
      <c r="E256" s="2">
        <v>2018</v>
      </c>
      <c r="F256" s="2">
        <v>899.99</v>
      </c>
      <c r="I256" t="str">
        <f t="shared" si="6"/>
        <v>255Electra Townie Balloon 7i EQ Ladies' - 2017/2018132018899.99</v>
      </c>
      <c r="J256" t="str">
        <f t="shared" si="7"/>
        <v>Unique</v>
      </c>
    </row>
    <row r="257" spans="1:10" x14ac:dyDescent="0.35">
      <c r="A257" s="2">
        <v>256</v>
      </c>
      <c r="B257" s="2" t="s">
        <v>247</v>
      </c>
      <c r="C257" s="2">
        <v>1</v>
      </c>
      <c r="D257" s="2">
        <v>3</v>
      </c>
      <c r="E257" s="2">
        <v>2018</v>
      </c>
      <c r="F257" s="2">
        <v>899.99</v>
      </c>
      <c r="I257" t="str">
        <f t="shared" si="6"/>
        <v>256Electra Townie Commute 27D - 2018132018899.99</v>
      </c>
      <c r="J257" t="str">
        <f t="shared" si="7"/>
        <v>Unique</v>
      </c>
    </row>
    <row r="258" spans="1:10" x14ac:dyDescent="0.35">
      <c r="A258" s="2">
        <v>257</v>
      </c>
      <c r="B258" s="2" t="s">
        <v>248</v>
      </c>
      <c r="C258" s="2">
        <v>1</v>
      </c>
      <c r="D258" s="2">
        <v>3</v>
      </c>
      <c r="E258" s="2">
        <v>2018</v>
      </c>
      <c r="F258" s="2">
        <v>899.99</v>
      </c>
      <c r="I258" t="str">
        <f t="shared" si="6"/>
        <v>257Electra Amsterdam Fashion 3i Ladies' - 2017/2018132018899.99</v>
      </c>
      <c r="J258" t="str">
        <f t="shared" si="7"/>
        <v>Unique</v>
      </c>
    </row>
    <row r="259" spans="1:10" x14ac:dyDescent="0.35">
      <c r="A259" s="2">
        <v>258</v>
      </c>
      <c r="B259" s="2" t="s">
        <v>249</v>
      </c>
      <c r="C259" s="2">
        <v>1</v>
      </c>
      <c r="D259" s="2">
        <v>3</v>
      </c>
      <c r="E259" s="2">
        <v>2018</v>
      </c>
      <c r="F259" s="2">
        <v>1259.9000000000001</v>
      </c>
      <c r="I259" t="str">
        <f t="shared" ref="I259:I322" si="8">A259&amp;B259&amp;C259&amp;D259&amp;E259&amp;F259</f>
        <v>258Electra Amsterdam Royal 8i - 2017/20181320181259.9</v>
      </c>
      <c r="J259" t="str">
        <f t="shared" ref="J259:J322" si="9">IF(COUNTIF($I$2:$I$322,I259)&gt;1,"Duplicate","Unique")</f>
        <v>Unique</v>
      </c>
    </row>
    <row r="260" spans="1:10" x14ac:dyDescent="0.35">
      <c r="A260" s="2">
        <v>259</v>
      </c>
      <c r="B260" s="2" t="s">
        <v>250</v>
      </c>
      <c r="C260" s="2">
        <v>1</v>
      </c>
      <c r="D260" s="2">
        <v>3</v>
      </c>
      <c r="E260" s="2">
        <v>2018</v>
      </c>
      <c r="F260" s="2">
        <v>1199.99</v>
      </c>
      <c r="I260" t="str">
        <f t="shared" si="8"/>
        <v>259Electra Amsterdam Royal 8i Ladies - 20181320181199.99</v>
      </c>
      <c r="J260" t="str">
        <f t="shared" si="9"/>
        <v>Unique</v>
      </c>
    </row>
    <row r="261" spans="1:10" x14ac:dyDescent="0.35">
      <c r="A261" s="2">
        <v>260</v>
      </c>
      <c r="B261" s="2" t="s">
        <v>251</v>
      </c>
      <c r="C261" s="2">
        <v>1</v>
      </c>
      <c r="D261" s="2">
        <v>3</v>
      </c>
      <c r="E261" s="2">
        <v>2018</v>
      </c>
      <c r="F261" s="2">
        <v>799.99</v>
      </c>
      <c r="I261" t="str">
        <f t="shared" si="8"/>
        <v>260Electra Townie Balloon 3i EQ Ladies' - 2018132018799.99</v>
      </c>
      <c r="J261" t="str">
        <f t="shared" si="9"/>
        <v>Unique</v>
      </c>
    </row>
    <row r="262" spans="1:10" x14ac:dyDescent="0.35">
      <c r="A262" s="2">
        <v>261</v>
      </c>
      <c r="B262" s="2" t="s">
        <v>252</v>
      </c>
      <c r="C262" s="2">
        <v>1</v>
      </c>
      <c r="D262" s="2">
        <v>3</v>
      </c>
      <c r="E262" s="2">
        <v>2018</v>
      </c>
      <c r="F262" s="2">
        <v>899.99</v>
      </c>
      <c r="I262" t="str">
        <f t="shared" si="8"/>
        <v>261Electra Townie Balloon 7i EQ - 2018132018899.99</v>
      </c>
      <c r="J262" t="str">
        <f t="shared" si="9"/>
        <v>Unique</v>
      </c>
    </row>
    <row r="263" spans="1:10" x14ac:dyDescent="0.35">
      <c r="A263" s="2">
        <v>262</v>
      </c>
      <c r="B263" s="2" t="s">
        <v>253</v>
      </c>
      <c r="C263" s="2">
        <v>9</v>
      </c>
      <c r="D263" s="2">
        <v>1</v>
      </c>
      <c r="E263" s="2">
        <v>2018</v>
      </c>
      <c r="F263" s="2">
        <v>249.99</v>
      </c>
      <c r="I263" t="str">
        <f t="shared" si="8"/>
        <v>262Trek MT 201 - 2018912018249.99</v>
      </c>
      <c r="J263" t="str">
        <f t="shared" si="9"/>
        <v>Unique</v>
      </c>
    </row>
    <row r="264" spans="1:10" x14ac:dyDescent="0.35">
      <c r="A264" s="2">
        <v>263</v>
      </c>
      <c r="B264" s="2" t="s">
        <v>254</v>
      </c>
      <c r="C264" s="2">
        <v>6</v>
      </c>
      <c r="D264" s="2">
        <v>1</v>
      </c>
      <c r="E264" s="2">
        <v>2018</v>
      </c>
      <c r="F264" s="2">
        <v>89.99</v>
      </c>
      <c r="I264" t="str">
        <f t="shared" si="8"/>
        <v>263Strider Classic 12 Balance Bike - 201861201889.99</v>
      </c>
      <c r="J264" t="str">
        <f t="shared" si="9"/>
        <v>Unique</v>
      </c>
    </row>
    <row r="265" spans="1:10" x14ac:dyDescent="0.35">
      <c r="A265" s="2">
        <v>264</v>
      </c>
      <c r="B265" s="2" t="s">
        <v>255</v>
      </c>
      <c r="C265" s="2">
        <v>6</v>
      </c>
      <c r="D265" s="2">
        <v>1</v>
      </c>
      <c r="E265" s="2">
        <v>2018</v>
      </c>
      <c r="F265" s="2">
        <v>249.99</v>
      </c>
      <c r="I265" t="str">
        <f t="shared" si="8"/>
        <v>264Strider Sport 16 - 2018612018249.99</v>
      </c>
      <c r="J265" t="str">
        <f t="shared" si="9"/>
        <v>Unique</v>
      </c>
    </row>
    <row r="266" spans="1:10" x14ac:dyDescent="0.35">
      <c r="A266" s="2">
        <v>265</v>
      </c>
      <c r="B266" s="2" t="s">
        <v>256</v>
      </c>
      <c r="C266" s="2">
        <v>6</v>
      </c>
      <c r="D266" s="2">
        <v>1</v>
      </c>
      <c r="E266" s="2">
        <v>2018</v>
      </c>
      <c r="F266" s="2">
        <v>289.99</v>
      </c>
      <c r="I266" t="str">
        <f t="shared" si="8"/>
        <v>265Strider Strider 20 Sport - 2018612018289.99</v>
      </c>
      <c r="J266" t="str">
        <f t="shared" si="9"/>
        <v>Unique</v>
      </c>
    </row>
    <row r="267" spans="1:10" x14ac:dyDescent="0.35">
      <c r="A267" s="2">
        <v>266</v>
      </c>
      <c r="B267" s="2" t="s">
        <v>257</v>
      </c>
      <c r="C267" s="2">
        <v>9</v>
      </c>
      <c r="D267" s="2">
        <v>1</v>
      </c>
      <c r="E267" s="2">
        <v>2018</v>
      </c>
      <c r="F267" s="2">
        <v>399.99</v>
      </c>
      <c r="I267" t="str">
        <f t="shared" si="8"/>
        <v>266Trek Superfly 20 - 2018912018399.99</v>
      </c>
      <c r="J267" t="str">
        <f t="shared" si="9"/>
        <v>Unique</v>
      </c>
    </row>
    <row r="268" spans="1:10" x14ac:dyDescent="0.35">
      <c r="A268" s="2">
        <v>267</v>
      </c>
      <c r="B268" s="2" t="s">
        <v>258</v>
      </c>
      <c r="C268" s="2">
        <v>9</v>
      </c>
      <c r="D268" s="2">
        <v>1</v>
      </c>
      <c r="E268" s="2">
        <v>2018</v>
      </c>
      <c r="F268" s="2">
        <v>199.99</v>
      </c>
      <c r="I268" t="str">
        <f t="shared" si="8"/>
        <v>267Trek Precaliber 12 Girl's - 2018912018199.99</v>
      </c>
      <c r="J268" t="str">
        <f t="shared" si="9"/>
        <v>Unique</v>
      </c>
    </row>
    <row r="269" spans="1:10" x14ac:dyDescent="0.35">
      <c r="A269" s="2">
        <v>268</v>
      </c>
      <c r="B269" s="2" t="s">
        <v>259</v>
      </c>
      <c r="C269" s="2">
        <v>9</v>
      </c>
      <c r="D269" s="2">
        <v>1</v>
      </c>
      <c r="E269" s="2">
        <v>2018</v>
      </c>
      <c r="F269" s="2">
        <v>159.99</v>
      </c>
      <c r="I269" t="str">
        <f t="shared" si="8"/>
        <v>268Trek Kickster - 2018912018159.99</v>
      </c>
      <c r="J269" t="str">
        <f t="shared" si="9"/>
        <v>Unique</v>
      </c>
    </row>
    <row r="270" spans="1:10" x14ac:dyDescent="0.35">
      <c r="A270" s="2">
        <v>269</v>
      </c>
      <c r="B270" s="2" t="s">
        <v>260</v>
      </c>
      <c r="C270" s="2">
        <v>9</v>
      </c>
      <c r="D270" s="2">
        <v>1</v>
      </c>
      <c r="E270" s="2">
        <v>2018</v>
      </c>
      <c r="F270" s="2">
        <v>199.99</v>
      </c>
      <c r="I270" t="str">
        <f t="shared" si="8"/>
        <v>269Trek Precaliber 12 Boy's - 2018912018199.99</v>
      </c>
      <c r="J270" t="str">
        <f t="shared" si="9"/>
        <v>Unique</v>
      </c>
    </row>
    <row r="271" spans="1:10" x14ac:dyDescent="0.35">
      <c r="A271" s="2">
        <v>270</v>
      </c>
      <c r="B271" s="2" t="s">
        <v>261</v>
      </c>
      <c r="C271" s="2">
        <v>9</v>
      </c>
      <c r="D271" s="2">
        <v>1</v>
      </c>
      <c r="E271" s="2">
        <v>2018</v>
      </c>
      <c r="F271" s="2">
        <v>209.99</v>
      </c>
      <c r="I271" t="str">
        <f t="shared" si="8"/>
        <v>270Trek Precaliber 16 Boy's - 2018912018209.99</v>
      </c>
      <c r="J271" t="str">
        <f t="shared" si="9"/>
        <v>Unique</v>
      </c>
    </row>
    <row r="272" spans="1:10" x14ac:dyDescent="0.35">
      <c r="A272" s="2">
        <v>271</v>
      </c>
      <c r="B272" s="2" t="s">
        <v>262</v>
      </c>
      <c r="C272" s="2">
        <v>9</v>
      </c>
      <c r="D272" s="2">
        <v>1</v>
      </c>
      <c r="E272" s="2">
        <v>2018</v>
      </c>
      <c r="F272" s="2">
        <v>209.99</v>
      </c>
      <c r="I272" t="str">
        <f t="shared" si="8"/>
        <v>271Trek Precaliber 16 Girl's - 2018912018209.99</v>
      </c>
      <c r="J272" t="str">
        <f t="shared" si="9"/>
        <v>Unique</v>
      </c>
    </row>
    <row r="273" spans="1:10" x14ac:dyDescent="0.35">
      <c r="A273" s="2">
        <v>272</v>
      </c>
      <c r="B273" s="2" t="s">
        <v>263</v>
      </c>
      <c r="C273" s="2">
        <v>9</v>
      </c>
      <c r="D273" s="2">
        <v>1</v>
      </c>
      <c r="E273" s="2">
        <v>2018</v>
      </c>
      <c r="F273" s="2">
        <v>289.99</v>
      </c>
      <c r="I273" t="str">
        <f t="shared" si="8"/>
        <v>272Trek Precaliber 20 6-speed Boy's - 2018912018289.99</v>
      </c>
      <c r="J273" t="str">
        <f t="shared" si="9"/>
        <v>Unique</v>
      </c>
    </row>
    <row r="274" spans="1:10" x14ac:dyDescent="0.35">
      <c r="A274" s="2">
        <v>273</v>
      </c>
      <c r="B274" s="2" t="s">
        <v>264</v>
      </c>
      <c r="C274" s="2">
        <v>9</v>
      </c>
      <c r="D274" s="2">
        <v>1</v>
      </c>
      <c r="E274" s="2">
        <v>2018</v>
      </c>
      <c r="F274" s="2">
        <v>289.99</v>
      </c>
      <c r="I274" t="str">
        <f t="shared" si="8"/>
        <v>273Trek Precaliber 20 6-speed Girl's - 2018912018289.99</v>
      </c>
      <c r="J274" t="str">
        <f t="shared" si="9"/>
        <v>Unique</v>
      </c>
    </row>
    <row r="275" spans="1:10" x14ac:dyDescent="0.35">
      <c r="A275" s="2">
        <v>274</v>
      </c>
      <c r="B275" s="2" t="s">
        <v>265</v>
      </c>
      <c r="C275" s="2">
        <v>9</v>
      </c>
      <c r="D275" s="2">
        <v>1</v>
      </c>
      <c r="E275" s="2">
        <v>2018</v>
      </c>
      <c r="F275" s="2">
        <v>229.99</v>
      </c>
      <c r="I275" t="str">
        <f t="shared" si="8"/>
        <v>274Trek Precaliber 20 Boy's - 2018912018229.99</v>
      </c>
      <c r="J275" t="str">
        <f t="shared" si="9"/>
        <v>Unique</v>
      </c>
    </row>
    <row r="276" spans="1:10" x14ac:dyDescent="0.35">
      <c r="A276" s="2">
        <v>275</v>
      </c>
      <c r="B276" s="2" t="s">
        <v>266</v>
      </c>
      <c r="C276" s="2">
        <v>9</v>
      </c>
      <c r="D276" s="2">
        <v>1</v>
      </c>
      <c r="E276" s="2">
        <v>2018</v>
      </c>
      <c r="F276" s="2">
        <v>229.99</v>
      </c>
      <c r="I276" t="str">
        <f t="shared" si="8"/>
        <v>275Trek Precaliber 20 Girl's - 2018912018229.99</v>
      </c>
      <c r="J276" t="str">
        <f t="shared" si="9"/>
        <v>Unique</v>
      </c>
    </row>
    <row r="277" spans="1:10" x14ac:dyDescent="0.35">
      <c r="A277" s="2">
        <v>276</v>
      </c>
      <c r="B277" s="2" t="s">
        <v>267</v>
      </c>
      <c r="C277" s="2">
        <v>9</v>
      </c>
      <c r="D277" s="2">
        <v>1</v>
      </c>
      <c r="E277" s="2">
        <v>2018</v>
      </c>
      <c r="F277" s="2">
        <v>319.99</v>
      </c>
      <c r="I277" t="str">
        <f t="shared" si="8"/>
        <v>276Trek Precaliber 24 (7-Speed) - Boys - 2018912018319.99</v>
      </c>
      <c r="J277" t="str">
        <f t="shared" si="9"/>
        <v>Unique</v>
      </c>
    </row>
    <row r="278" spans="1:10" x14ac:dyDescent="0.35">
      <c r="A278" s="2">
        <v>277</v>
      </c>
      <c r="B278" s="2" t="s">
        <v>268</v>
      </c>
      <c r="C278" s="2">
        <v>9</v>
      </c>
      <c r="D278" s="2">
        <v>1</v>
      </c>
      <c r="E278" s="2">
        <v>2018</v>
      </c>
      <c r="F278" s="2">
        <v>369.99</v>
      </c>
      <c r="I278" t="str">
        <f t="shared" si="8"/>
        <v>277Trek Precaliber 24 21-speed Boy's - 2018912018369.99</v>
      </c>
      <c r="J278" t="str">
        <f t="shared" si="9"/>
        <v>Unique</v>
      </c>
    </row>
    <row r="279" spans="1:10" x14ac:dyDescent="0.35">
      <c r="A279" s="2">
        <v>278</v>
      </c>
      <c r="B279" s="2" t="s">
        <v>269</v>
      </c>
      <c r="C279" s="2">
        <v>9</v>
      </c>
      <c r="D279" s="2">
        <v>1</v>
      </c>
      <c r="E279" s="2">
        <v>2018</v>
      </c>
      <c r="F279" s="2">
        <v>369.99</v>
      </c>
      <c r="I279" t="str">
        <f t="shared" si="8"/>
        <v>278Trek Precaliber 24 21-speed Girl's - 2018912018369.99</v>
      </c>
      <c r="J279" t="str">
        <f t="shared" si="9"/>
        <v>Unique</v>
      </c>
    </row>
    <row r="280" spans="1:10" x14ac:dyDescent="0.35">
      <c r="A280" s="2">
        <v>279</v>
      </c>
      <c r="B280" s="2" t="s">
        <v>270</v>
      </c>
      <c r="C280" s="2">
        <v>9</v>
      </c>
      <c r="D280" s="2">
        <v>1</v>
      </c>
      <c r="E280" s="2">
        <v>2018</v>
      </c>
      <c r="F280" s="2">
        <v>319.99</v>
      </c>
      <c r="I280" t="str">
        <f t="shared" si="8"/>
        <v>279Trek Precaliber 24 7-speed Girl's - 2018912018319.99</v>
      </c>
      <c r="J280" t="str">
        <f t="shared" si="9"/>
        <v>Unique</v>
      </c>
    </row>
    <row r="281" spans="1:10" x14ac:dyDescent="0.35">
      <c r="A281" s="2">
        <v>280</v>
      </c>
      <c r="B281" s="2" t="s">
        <v>271</v>
      </c>
      <c r="C281" s="2">
        <v>9</v>
      </c>
      <c r="D281" s="2">
        <v>1</v>
      </c>
      <c r="E281" s="2">
        <v>2018</v>
      </c>
      <c r="F281" s="2">
        <v>489.99</v>
      </c>
      <c r="I281" t="str">
        <f t="shared" si="8"/>
        <v>280Trek Superfly 24 - 2017/2018912018489.99</v>
      </c>
      <c r="J281" t="str">
        <f t="shared" si="9"/>
        <v>Unique</v>
      </c>
    </row>
    <row r="282" spans="1:10" x14ac:dyDescent="0.35">
      <c r="A282" s="2">
        <v>281</v>
      </c>
      <c r="B282" s="2" t="s">
        <v>222</v>
      </c>
      <c r="C282" s="2">
        <v>1</v>
      </c>
      <c r="D282" s="2">
        <v>1</v>
      </c>
      <c r="E282" s="2">
        <v>2018</v>
      </c>
      <c r="F282" s="2">
        <v>319.99</v>
      </c>
      <c r="I282" t="str">
        <f t="shared" si="8"/>
        <v>281Electra Cruiser 7D (24-Inch) Ladies' - 2016/2018112018319.99</v>
      </c>
      <c r="J282" t="str">
        <f t="shared" si="9"/>
        <v>Unique</v>
      </c>
    </row>
    <row r="283" spans="1:10" x14ac:dyDescent="0.35">
      <c r="A283" s="2">
        <v>282</v>
      </c>
      <c r="B283" s="2" t="s">
        <v>272</v>
      </c>
      <c r="C283" s="2">
        <v>1</v>
      </c>
      <c r="D283" s="2">
        <v>1</v>
      </c>
      <c r="E283" s="2">
        <v>2018</v>
      </c>
      <c r="F283" s="2">
        <v>279.99</v>
      </c>
      <c r="I283" t="str">
        <f t="shared" si="8"/>
        <v>282Electra Cyclosaurus 1 (16-inch) - Boy's - 2018112018279.99</v>
      </c>
      <c r="J283" t="str">
        <f t="shared" si="9"/>
        <v>Unique</v>
      </c>
    </row>
    <row r="284" spans="1:10" x14ac:dyDescent="0.35">
      <c r="A284" s="2">
        <v>283</v>
      </c>
      <c r="B284" s="2" t="s">
        <v>273</v>
      </c>
      <c r="C284" s="2">
        <v>1</v>
      </c>
      <c r="D284" s="2">
        <v>1</v>
      </c>
      <c r="E284" s="2">
        <v>2018</v>
      </c>
      <c r="F284" s="2">
        <v>319.99</v>
      </c>
      <c r="I284" t="str">
        <f t="shared" si="8"/>
        <v>283Electra Heartchya 1 (20-inch) - Girl's - 2018112018319.99</v>
      </c>
      <c r="J284" t="str">
        <f t="shared" si="9"/>
        <v>Unique</v>
      </c>
    </row>
    <row r="285" spans="1:10" x14ac:dyDescent="0.35">
      <c r="A285" s="2">
        <v>284</v>
      </c>
      <c r="B285" s="2" t="s">
        <v>274</v>
      </c>
      <c r="C285" s="2">
        <v>1</v>
      </c>
      <c r="D285" s="2">
        <v>1</v>
      </c>
      <c r="E285" s="2">
        <v>2018</v>
      </c>
      <c r="F285" s="2">
        <v>319.99</v>
      </c>
      <c r="I285" t="str">
        <f t="shared" si="8"/>
        <v>284Electra Savannah 1 (20-inch) - Girl's - 2018112018319.99</v>
      </c>
      <c r="J285" t="str">
        <f t="shared" si="9"/>
        <v>Unique</v>
      </c>
    </row>
    <row r="286" spans="1:10" x14ac:dyDescent="0.35">
      <c r="A286" s="2">
        <v>285</v>
      </c>
      <c r="B286" s="2" t="s">
        <v>275</v>
      </c>
      <c r="C286" s="2">
        <v>1</v>
      </c>
      <c r="D286" s="2">
        <v>1</v>
      </c>
      <c r="E286" s="2">
        <v>2018</v>
      </c>
      <c r="F286" s="2">
        <v>279.99</v>
      </c>
      <c r="I286" t="str">
        <f t="shared" si="8"/>
        <v>285Electra Soft Serve 1 (16-inch) - Girl's - 2018112018279.99</v>
      </c>
      <c r="J286" t="str">
        <f t="shared" si="9"/>
        <v>Unique</v>
      </c>
    </row>
    <row r="287" spans="1:10" x14ac:dyDescent="0.35">
      <c r="A287" s="2">
        <v>286</v>
      </c>
      <c r="B287" s="2" t="s">
        <v>276</v>
      </c>
      <c r="C287" s="2">
        <v>1</v>
      </c>
      <c r="D287" s="2">
        <v>1</v>
      </c>
      <c r="E287" s="2">
        <v>2018</v>
      </c>
      <c r="F287" s="2">
        <v>279.99</v>
      </c>
      <c r="I287" t="str">
        <f t="shared" si="8"/>
        <v>286Electra Starship 1 16" - 2018112018279.99</v>
      </c>
      <c r="J287" t="str">
        <f t="shared" si="9"/>
        <v>Unique</v>
      </c>
    </row>
    <row r="288" spans="1:10" x14ac:dyDescent="0.35">
      <c r="A288" s="2">
        <v>287</v>
      </c>
      <c r="B288" s="2" t="s">
        <v>277</v>
      </c>
      <c r="C288" s="2">
        <v>1</v>
      </c>
      <c r="D288" s="2">
        <v>1</v>
      </c>
      <c r="E288" s="2">
        <v>2018</v>
      </c>
      <c r="F288" s="2">
        <v>279.99</v>
      </c>
      <c r="I288" t="str">
        <f t="shared" si="8"/>
        <v>287Electra Straight 8 1 (16-inch) - Boy's - 2018112018279.99</v>
      </c>
      <c r="J288" t="str">
        <f t="shared" si="9"/>
        <v>Unique</v>
      </c>
    </row>
    <row r="289" spans="1:10" x14ac:dyDescent="0.35">
      <c r="A289" s="2">
        <v>288</v>
      </c>
      <c r="B289" s="2" t="s">
        <v>278</v>
      </c>
      <c r="C289" s="2">
        <v>1</v>
      </c>
      <c r="D289" s="2">
        <v>1</v>
      </c>
      <c r="E289" s="2">
        <v>2018</v>
      </c>
      <c r="F289" s="2">
        <v>389.99</v>
      </c>
      <c r="I289" t="str">
        <f t="shared" si="8"/>
        <v>288Electra Straight 8 1 (20-inch) - Boy's - 2018112018389.99</v>
      </c>
      <c r="J289" t="str">
        <f t="shared" si="9"/>
        <v>Unique</v>
      </c>
    </row>
    <row r="290" spans="1:10" x14ac:dyDescent="0.35">
      <c r="A290" s="2">
        <v>289</v>
      </c>
      <c r="B290" s="2" t="s">
        <v>279</v>
      </c>
      <c r="C290" s="2">
        <v>1</v>
      </c>
      <c r="D290" s="2">
        <v>1</v>
      </c>
      <c r="E290" s="2">
        <v>2018</v>
      </c>
      <c r="F290" s="2">
        <v>319.99</v>
      </c>
      <c r="I290" t="str">
        <f t="shared" si="8"/>
        <v>289Electra Superbolt 1 20" - 2018112018319.99</v>
      </c>
      <c r="J290" t="str">
        <f t="shared" si="9"/>
        <v>Unique</v>
      </c>
    </row>
    <row r="291" spans="1:10" x14ac:dyDescent="0.35">
      <c r="A291" s="2">
        <v>290</v>
      </c>
      <c r="B291" s="2" t="s">
        <v>280</v>
      </c>
      <c r="C291" s="2">
        <v>1</v>
      </c>
      <c r="D291" s="2">
        <v>1</v>
      </c>
      <c r="E291" s="2">
        <v>2018</v>
      </c>
      <c r="F291" s="2">
        <v>369.99</v>
      </c>
      <c r="I291" t="str">
        <f t="shared" si="8"/>
        <v>290Electra Superbolt 3i 20" - 2018112018369.99</v>
      </c>
      <c r="J291" t="str">
        <f t="shared" si="9"/>
        <v>Unique</v>
      </c>
    </row>
    <row r="292" spans="1:10" x14ac:dyDescent="0.35">
      <c r="A292" s="2">
        <v>291</v>
      </c>
      <c r="B292" s="2" t="s">
        <v>281</v>
      </c>
      <c r="C292" s="2">
        <v>1</v>
      </c>
      <c r="D292" s="2">
        <v>1</v>
      </c>
      <c r="E292" s="2">
        <v>2018</v>
      </c>
      <c r="F292" s="2">
        <v>319.99</v>
      </c>
      <c r="I292" t="str">
        <f t="shared" si="8"/>
        <v>291Electra Sweet Ride 1 (20-inch) - Girl's - 2018112018319.99</v>
      </c>
      <c r="J292" t="str">
        <f t="shared" si="9"/>
        <v>Unique</v>
      </c>
    </row>
    <row r="293" spans="1:10" x14ac:dyDescent="0.35">
      <c r="A293" s="2">
        <v>292</v>
      </c>
      <c r="B293" s="2" t="s">
        <v>282</v>
      </c>
      <c r="C293" s="2">
        <v>1</v>
      </c>
      <c r="D293" s="2">
        <v>1</v>
      </c>
      <c r="E293" s="2">
        <v>2018</v>
      </c>
      <c r="F293" s="2">
        <v>369.99</v>
      </c>
      <c r="I293" t="str">
        <f t="shared" si="8"/>
        <v>292Electra Sweet Ride 3i (20-inch) - Girls' - 2018112018369.99</v>
      </c>
      <c r="J293" t="str">
        <f t="shared" si="9"/>
        <v>Unique</v>
      </c>
    </row>
    <row r="294" spans="1:10" x14ac:dyDescent="0.35">
      <c r="A294" s="2">
        <v>293</v>
      </c>
      <c r="B294" s="2" t="s">
        <v>283</v>
      </c>
      <c r="C294" s="2">
        <v>1</v>
      </c>
      <c r="D294" s="2">
        <v>1</v>
      </c>
      <c r="E294" s="2">
        <v>2018</v>
      </c>
      <c r="F294" s="2">
        <v>319.99</v>
      </c>
      <c r="I294" t="str">
        <f t="shared" si="8"/>
        <v>293Electra Tiger Shark 1 (20-inch) - Boys' - 2018112018319.99</v>
      </c>
      <c r="J294" t="str">
        <f t="shared" si="9"/>
        <v>Unique</v>
      </c>
    </row>
    <row r="295" spans="1:10" x14ac:dyDescent="0.35">
      <c r="A295" s="2">
        <v>294</v>
      </c>
      <c r="B295" s="2" t="s">
        <v>284</v>
      </c>
      <c r="C295" s="2">
        <v>1</v>
      </c>
      <c r="D295" s="2">
        <v>1</v>
      </c>
      <c r="E295" s="2">
        <v>2018</v>
      </c>
      <c r="F295" s="2">
        <v>369.99</v>
      </c>
      <c r="I295" t="str">
        <f t="shared" si="8"/>
        <v>294Electra Tiger Shark 3i (20-inch) - Boys' - 2018112018369.99</v>
      </c>
      <c r="J295" t="str">
        <f t="shared" si="9"/>
        <v>Unique</v>
      </c>
    </row>
    <row r="296" spans="1:10" x14ac:dyDescent="0.35">
      <c r="A296" s="2">
        <v>295</v>
      </c>
      <c r="B296" s="2" t="s">
        <v>285</v>
      </c>
      <c r="C296" s="2">
        <v>1</v>
      </c>
      <c r="D296" s="2">
        <v>1</v>
      </c>
      <c r="E296" s="2">
        <v>2018</v>
      </c>
      <c r="F296" s="2">
        <v>319.99</v>
      </c>
      <c r="I296" t="str">
        <f t="shared" si="8"/>
        <v>295Electra Treasure 1 20" - 2018112018319.99</v>
      </c>
      <c r="J296" t="str">
        <f t="shared" si="9"/>
        <v>Unique</v>
      </c>
    </row>
    <row r="297" spans="1:10" x14ac:dyDescent="0.35">
      <c r="A297" s="2">
        <v>296</v>
      </c>
      <c r="B297" s="2" t="s">
        <v>286</v>
      </c>
      <c r="C297" s="2">
        <v>1</v>
      </c>
      <c r="D297" s="2">
        <v>1</v>
      </c>
      <c r="E297" s="2">
        <v>2018</v>
      </c>
      <c r="F297" s="2">
        <v>369.99</v>
      </c>
      <c r="I297" t="str">
        <f t="shared" si="8"/>
        <v>296Electra Treasure 3i 20" - 2018112018369.99</v>
      </c>
      <c r="J297" t="str">
        <f t="shared" si="9"/>
        <v>Unique</v>
      </c>
    </row>
    <row r="298" spans="1:10" x14ac:dyDescent="0.35">
      <c r="A298" s="2">
        <v>297</v>
      </c>
      <c r="B298" s="2" t="s">
        <v>287</v>
      </c>
      <c r="C298" s="2">
        <v>1</v>
      </c>
      <c r="D298" s="2">
        <v>1</v>
      </c>
      <c r="E298" s="2">
        <v>2018</v>
      </c>
      <c r="F298" s="2">
        <v>279.99</v>
      </c>
      <c r="I298" t="str">
        <f t="shared" si="8"/>
        <v>297Electra Under-The-Sea 1 16" - 2018112018279.99</v>
      </c>
      <c r="J298" t="str">
        <f t="shared" si="9"/>
        <v>Unique</v>
      </c>
    </row>
    <row r="299" spans="1:10" x14ac:dyDescent="0.35">
      <c r="A299" s="2">
        <v>298</v>
      </c>
      <c r="B299" s="2" t="s">
        <v>288</v>
      </c>
      <c r="C299" s="2">
        <v>1</v>
      </c>
      <c r="D299" s="2">
        <v>1</v>
      </c>
      <c r="E299" s="2">
        <v>2018</v>
      </c>
      <c r="F299" s="2">
        <v>279.99</v>
      </c>
      <c r="I299" t="str">
        <f t="shared" si="8"/>
        <v>298Electra Water Lily 1 (16-inch) - Girl's - 2018112018279.99</v>
      </c>
      <c r="J299" t="str">
        <f t="shared" si="9"/>
        <v>Unique</v>
      </c>
    </row>
    <row r="300" spans="1:10" x14ac:dyDescent="0.35">
      <c r="A300" s="2">
        <v>299</v>
      </c>
      <c r="B300" s="2" t="s">
        <v>207</v>
      </c>
      <c r="C300" s="2">
        <v>1</v>
      </c>
      <c r="D300" s="2">
        <v>2</v>
      </c>
      <c r="E300" s="2">
        <v>2018</v>
      </c>
      <c r="F300" s="2">
        <v>559.99</v>
      </c>
      <c r="I300" t="str">
        <f t="shared" si="8"/>
        <v>299Electra Townie Original 21D - 2018122018559.99</v>
      </c>
      <c r="J300" t="str">
        <f t="shared" si="9"/>
        <v>Unique</v>
      </c>
    </row>
    <row r="301" spans="1:10" x14ac:dyDescent="0.35">
      <c r="A301" s="2">
        <v>300</v>
      </c>
      <c r="B301" s="2" t="s">
        <v>251</v>
      </c>
      <c r="C301" s="2">
        <v>1</v>
      </c>
      <c r="D301" s="2">
        <v>2</v>
      </c>
      <c r="E301" s="2">
        <v>2018</v>
      </c>
      <c r="F301" s="2">
        <v>799.99</v>
      </c>
      <c r="I301" t="str">
        <f t="shared" si="8"/>
        <v>300Electra Townie Balloon 3i EQ Ladies' - 2018122018799.99</v>
      </c>
      <c r="J301" t="str">
        <f t="shared" si="9"/>
        <v>Unique</v>
      </c>
    </row>
    <row r="302" spans="1:10" x14ac:dyDescent="0.35">
      <c r="A302" s="2">
        <v>301</v>
      </c>
      <c r="B302" s="2" t="s">
        <v>252</v>
      </c>
      <c r="C302" s="2">
        <v>1</v>
      </c>
      <c r="D302" s="2">
        <v>2</v>
      </c>
      <c r="E302" s="2">
        <v>2018</v>
      </c>
      <c r="F302" s="2">
        <v>899.99</v>
      </c>
      <c r="I302" t="str">
        <f t="shared" si="8"/>
        <v>301Electra Townie Balloon 7i EQ - 2018122018899.99</v>
      </c>
      <c r="J302" t="str">
        <f t="shared" si="9"/>
        <v>Unique</v>
      </c>
    </row>
    <row r="303" spans="1:10" x14ac:dyDescent="0.35">
      <c r="A303" s="2">
        <v>302</v>
      </c>
      <c r="B303" s="2" t="s">
        <v>289</v>
      </c>
      <c r="C303" s="2">
        <v>1</v>
      </c>
      <c r="D303" s="2">
        <v>2</v>
      </c>
      <c r="E303" s="2">
        <v>2018</v>
      </c>
      <c r="F303" s="2">
        <v>449.99</v>
      </c>
      <c r="I303" t="str">
        <f t="shared" si="8"/>
        <v>302Electra Townie Original 1 - 2018122018449.99</v>
      </c>
      <c r="J303" t="str">
        <f t="shared" si="9"/>
        <v>Unique</v>
      </c>
    </row>
    <row r="304" spans="1:10" x14ac:dyDescent="0.35">
      <c r="A304" s="2">
        <v>303</v>
      </c>
      <c r="B304" s="2" t="s">
        <v>189</v>
      </c>
      <c r="C304" s="2">
        <v>1</v>
      </c>
      <c r="D304" s="2">
        <v>2</v>
      </c>
      <c r="E304" s="2">
        <v>2018</v>
      </c>
      <c r="F304" s="2">
        <v>2599.9899999999998</v>
      </c>
      <c r="I304" t="str">
        <f t="shared" si="8"/>
        <v>303Electra Townie Go! 8i - 2017/20181220182599.99</v>
      </c>
      <c r="J304" t="str">
        <f t="shared" si="9"/>
        <v>Unique</v>
      </c>
    </row>
    <row r="305" spans="1:10" x14ac:dyDescent="0.35">
      <c r="A305" s="2">
        <v>304</v>
      </c>
      <c r="B305" s="2" t="s">
        <v>221</v>
      </c>
      <c r="C305" s="2">
        <v>1</v>
      </c>
      <c r="D305" s="2">
        <v>2</v>
      </c>
      <c r="E305" s="2">
        <v>2018</v>
      </c>
      <c r="F305" s="2">
        <v>679.99</v>
      </c>
      <c r="I305" t="str">
        <f t="shared" si="8"/>
        <v>304Electra Townie Original 21D EQ - 2017/2018122018679.99</v>
      </c>
      <c r="J305" t="str">
        <f t="shared" si="9"/>
        <v>Unique</v>
      </c>
    </row>
    <row r="306" spans="1:10" x14ac:dyDescent="0.35">
      <c r="A306" s="2">
        <v>305</v>
      </c>
      <c r="B306" s="2" t="s">
        <v>245</v>
      </c>
      <c r="C306" s="2">
        <v>1</v>
      </c>
      <c r="D306" s="2">
        <v>2</v>
      </c>
      <c r="E306" s="2">
        <v>2018</v>
      </c>
      <c r="F306" s="2">
        <v>749.99</v>
      </c>
      <c r="I306" t="str">
        <f t="shared" si="8"/>
        <v>305Electra Townie Balloon 3i EQ - 2017/2018122018749.99</v>
      </c>
      <c r="J306" t="str">
        <f t="shared" si="9"/>
        <v>Unique</v>
      </c>
    </row>
    <row r="307" spans="1:10" x14ac:dyDescent="0.35">
      <c r="A307" s="2">
        <v>306</v>
      </c>
      <c r="B307" s="2" t="s">
        <v>246</v>
      </c>
      <c r="C307" s="2">
        <v>1</v>
      </c>
      <c r="D307" s="2">
        <v>2</v>
      </c>
      <c r="E307" s="2">
        <v>2018</v>
      </c>
      <c r="F307" s="2">
        <v>899.99</v>
      </c>
      <c r="I307" t="str">
        <f t="shared" si="8"/>
        <v>306Electra Townie Balloon 7i EQ Ladies' - 2017/2018122018899.99</v>
      </c>
      <c r="J307" t="str">
        <f t="shared" si="9"/>
        <v>Unique</v>
      </c>
    </row>
    <row r="308" spans="1:10" x14ac:dyDescent="0.35">
      <c r="A308" s="2">
        <v>307</v>
      </c>
      <c r="B308" s="2" t="s">
        <v>233</v>
      </c>
      <c r="C308" s="2">
        <v>1</v>
      </c>
      <c r="D308" s="2">
        <v>2</v>
      </c>
      <c r="E308" s="2">
        <v>2018</v>
      </c>
      <c r="F308" s="2">
        <v>749.99</v>
      </c>
      <c r="I308" t="str">
        <f t="shared" si="8"/>
        <v>307Electra Townie Balloon 8D EQ - 2016/2017/2018122018749.99</v>
      </c>
      <c r="J308" t="str">
        <f t="shared" si="9"/>
        <v>Unique</v>
      </c>
    </row>
    <row r="309" spans="1:10" x14ac:dyDescent="0.35">
      <c r="A309" s="2">
        <v>308</v>
      </c>
      <c r="B309" s="2" t="s">
        <v>234</v>
      </c>
      <c r="C309" s="2">
        <v>1</v>
      </c>
      <c r="D309" s="2">
        <v>2</v>
      </c>
      <c r="E309" s="2">
        <v>2018</v>
      </c>
      <c r="F309" s="2">
        <v>749.99</v>
      </c>
      <c r="I309" t="str">
        <f t="shared" si="8"/>
        <v>308Electra Townie Balloon 8D EQ Ladies' - 2016/2017/2018122018749.99</v>
      </c>
      <c r="J309" t="str">
        <f t="shared" si="9"/>
        <v>Unique</v>
      </c>
    </row>
    <row r="310" spans="1:10" x14ac:dyDescent="0.35">
      <c r="A310" s="2">
        <v>309</v>
      </c>
      <c r="B310" s="2" t="s">
        <v>247</v>
      </c>
      <c r="C310" s="2">
        <v>1</v>
      </c>
      <c r="D310" s="2">
        <v>2</v>
      </c>
      <c r="E310" s="2">
        <v>2018</v>
      </c>
      <c r="F310" s="2">
        <v>899.99</v>
      </c>
      <c r="I310" t="str">
        <f t="shared" si="8"/>
        <v>309Electra Townie Commute 27D - 2018122018899.99</v>
      </c>
      <c r="J310" t="str">
        <f t="shared" si="9"/>
        <v>Unique</v>
      </c>
    </row>
    <row r="311" spans="1:10" x14ac:dyDescent="0.35">
      <c r="A311" s="2">
        <v>310</v>
      </c>
      <c r="B311" s="2" t="s">
        <v>235</v>
      </c>
      <c r="C311" s="2">
        <v>1</v>
      </c>
      <c r="D311" s="2">
        <v>2</v>
      </c>
      <c r="E311" s="2">
        <v>2018</v>
      </c>
      <c r="F311" s="2">
        <v>899.99</v>
      </c>
      <c r="I311" t="str">
        <f t="shared" si="8"/>
        <v>310Electra Townie Commute 27D Ladies - 2018122018899.99</v>
      </c>
      <c r="J311" t="str">
        <f t="shared" si="9"/>
        <v>Unique</v>
      </c>
    </row>
    <row r="312" spans="1:10" x14ac:dyDescent="0.35">
      <c r="A312" s="2">
        <v>311</v>
      </c>
      <c r="B312" s="2" t="s">
        <v>236</v>
      </c>
      <c r="C312" s="2">
        <v>1</v>
      </c>
      <c r="D312" s="2">
        <v>2</v>
      </c>
      <c r="E312" s="2">
        <v>2018</v>
      </c>
      <c r="F312" s="2">
        <v>749.99</v>
      </c>
      <c r="I312" t="str">
        <f t="shared" si="8"/>
        <v>311Electra Townie Commute 8D - 2018122018749.99</v>
      </c>
      <c r="J312" t="str">
        <f t="shared" si="9"/>
        <v>Unique</v>
      </c>
    </row>
    <row r="313" spans="1:10" x14ac:dyDescent="0.35">
      <c r="A313" s="2">
        <v>312</v>
      </c>
      <c r="B313" s="2" t="s">
        <v>237</v>
      </c>
      <c r="C313" s="2">
        <v>1</v>
      </c>
      <c r="D313" s="2">
        <v>2</v>
      </c>
      <c r="E313" s="2">
        <v>2018</v>
      </c>
      <c r="F313" s="2">
        <v>699.99</v>
      </c>
      <c r="I313" t="str">
        <f t="shared" si="8"/>
        <v>312Electra Townie Commute 8D Ladies' - 2018122018699.99</v>
      </c>
      <c r="J313" t="str">
        <f t="shared" si="9"/>
        <v>Unique</v>
      </c>
    </row>
    <row r="314" spans="1:10" x14ac:dyDescent="0.35">
      <c r="A314" s="2">
        <v>313</v>
      </c>
      <c r="B314" s="2" t="s">
        <v>290</v>
      </c>
      <c r="C314" s="2">
        <v>1</v>
      </c>
      <c r="D314" s="2">
        <v>2</v>
      </c>
      <c r="E314" s="2">
        <v>2018</v>
      </c>
      <c r="F314" s="2">
        <v>449.99</v>
      </c>
      <c r="I314" t="str">
        <f t="shared" si="8"/>
        <v>313Electra Townie Original 1 Ladies' - 2018122018449.99</v>
      </c>
      <c r="J314" t="str">
        <f t="shared" si="9"/>
        <v>Unique</v>
      </c>
    </row>
    <row r="315" spans="1:10" x14ac:dyDescent="0.35">
      <c r="A315" s="2">
        <v>314</v>
      </c>
      <c r="B315" s="2" t="s">
        <v>238</v>
      </c>
      <c r="C315" s="2">
        <v>1</v>
      </c>
      <c r="D315" s="2">
        <v>2</v>
      </c>
      <c r="E315" s="2">
        <v>2018</v>
      </c>
      <c r="F315" s="2">
        <v>679.99</v>
      </c>
      <c r="I315" t="str">
        <f t="shared" si="8"/>
        <v>314Electra Townie Original 21D EQ Ladies' - 2018122018679.99</v>
      </c>
      <c r="J315" t="str">
        <f t="shared" si="9"/>
        <v>Unique</v>
      </c>
    </row>
    <row r="316" spans="1:10" x14ac:dyDescent="0.35">
      <c r="A316" s="2">
        <v>315</v>
      </c>
      <c r="B316" s="2" t="s">
        <v>239</v>
      </c>
      <c r="C316" s="2">
        <v>1</v>
      </c>
      <c r="D316" s="2">
        <v>2</v>
      </c>
      <c r="E316" s="2">
        <v>2018</v>
      </c>
      <c r="F316" s="2">
        <v>559.99</v>
      </c>
      <c r="I316" t="str">
        <f t="shared" si="8"/>
        <v>315Electra Townie Original 21D Ladies' - 2018122018559.99</v>
      </c>
      <c r="J316" t="str">
        <f t="shared" si="9"/>
        <v>Unique</v>
      </c>
    </row>
    <row r="317" spans="1:10" x14ac:dyDescent="0.35">
      <c r="A317" s="2">
        <v>316</v>
      </c>
      <c r="B317" s="2" t="s">
        <v>291</v>
      </c>
      <c r="C317" s="2">
        <v>9</v>
      </c>
      <c r="D317" s="2">
        <v>7</v>
      </c>
      <c r="E317" s="2">
        <v>2019</v>
      </c>
      <c r="F317" s="2">
        <v>1699.99</v>
      </c>
      <c r="I317" t="str">
        <f t="shared" si="8"/>
        <v>316Trek Checkpoint ALR 4 Women's - 20199720191699.99</v>
      </c>
      <c r="J317" t="str">
        <f t="shared" si="9"/>
        <v>Unique</v>
      </c>
    </row>
    <row r="318" spans="1:10" x14ac:dyDescent="0.35">
      <c r="A318" s="2">
        <v>317</v>
      </c>
      <c r="B318" s="2" t="s">
        <v>292</v>
      </c>
      <c r="C318" s="2">
        <v>9</v>
      </c>
      <c r="D318" s="2">
        <v>7</v>
      </c>
      <c r="E318" s="2">
        <v>2019</v>
      </c>
      <c r="F318" s="2">
        <v>1999.99</v>
      </c>
      <c r="I318" t="str">
        <f t="shared" si="8"/>
        <v>317Trek Checkpoint ALR 5 - 20199720191999.99</v>
      </c>
      <c r="J318" t="str">
        <f t="shared" si="9"/>
        <v>Unique</v>
      </c>
    </row>
    <row r="319" spans="1:10" x14ac:dyDescent="0.35">
      <c r="A319" s="2">
        <v>318</v>
      </c>
      <c r="B319" s="2" t="s">
        <v>293</v>
      </c>
      <c r="C319" s="2">
        <v>9</v>
      </c>
      <c r="D319" s="2">
        <v>7</v>
      </c>
      <c r="E319" s="2">
        <v>2019</v>
      </c>
      <c r="F319" s="2">
        <v>1999.99</v>
      </c>
      <c r="I319" t="str">
        <f t="shared" si="8"/>
        <v>318Trek Checkpoint ALR 5 Women's - 20199720191999.99</v>
      </c>
      <c r="J319" t="str">
        <f t="shared" si="9"/>
        <v>Unique</v>
      </c>
    </row>
    <row r="320" spans="1:10" x14ac:dyDescent="0.35">
      <c r="A320" s="2">
        <v>319</v>
      </c>
      <c r="B320" s="2" t="s">
        <v>294</v>
      </c>
      <c r="C320" s="2">
        <v>9</v>
      </c>
      <c r="D320" s="2">
        <v>7</v>
      </c>
      <c r="E320" s="2">
        <v>2019</v>
      </c>
      <c r="F320" s="2">
        <v>2799.99</v>
      </c>
      <c r="I320" t="str">
        <f t="shared" si="8"/>
        <v>319Trek Checkpoint SL 5 Women's - 20199720192799.99</v>
      </c>
      <c r="J320" t="str">
        <f t="shared" si="9"/>
        <v>Unique</v>
      </c>
    </row>
    <row r="321" spans="1:10" x14ac:dyDescent="0.35">
      <c r="A321" s="2">
        <v>320</v>
      </c>
      <c r="B321" s="2" t="s">
        <v>295</v>
      </c>
      <c r="C321" s="2">
        <v>9</v>
      </c>
      <c r="D321" s="2">
        <v>7</v>
      </c>
      <c r="E321" s="2">
        <v>2019</v>
      </c>
      <c r="F321" s="2">
        <v>3799.99</v>
      </c>
      <c r="I321" t="str">
        <f t="shared" si="8"/>
        <v>320Trek Checkpoint SL 6 - 20199720193799.99</v>
      </c>
      <c r="J321" t="str">
        <f t="shared" si="9"/>
        <v>Unique</v>
      </c>
    </row>
    <row r="322" spans="1:10" x14ac:dyDescent="0.35">
      <c r="A322" s="2">
        <v>321</v>
      </c>
      <c r="B322" s="2" t="s">
        <v>296</v>
      </c>
      <c r="C322" s="2">
        <v>9</v>
      </c>
      <c r="D322" s="2">
        <v>7</v>
      </c>
      <c r="E322" s="2">
        <v>2019</v>
      </c>
      <c r="F322" s="2">
        <v>3199.99</v>
      </c>
      <c r="I322" t="str">
        <f t="shared" si="8"/>
        <v>321Trek Checkpoint ALR Frameset - 20199720193199.99</v>
      </c>
      <c r="J322" t="str">
        <f t="shared" si="9"/>
        <v>Unique</v>
      </c>
    </row>
  </sheetData>
  <autoFilter ref="H1:J32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workbookViewId="0">
      <selection activeCell="C27" sqref="C2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9</v>
      </c>
      <c r="D2">
        <v>6</v>
      </c>
      <c r="E2">
        <v>2016</v>
      </c>
      <c r="F2">
        <v>379.99</v>
      </c>
    </row>
    <row r="3" spans="1:6" x14ac:dyDescent="0.35">
      <c r="A3">
        <v>2</v>
      </c>
      <c r="B3" t="s">
        <v>7</v>
      </c>
      <c r="C3">
        <v>5</v>
      </c>
      <c r="D3">
        <v>6</v>
      </c>
      <c r="E3">
        <v>2016</v>
      </c>
      <c r="F3">
        <v>749.99</v>
      </c>
    </row>
    <row r="4" spans="1:6" x14ac:dyDescent="0.35">
      <c r="A4">
        <v>3</v>
      </c>
      <c r="B4" t="s">
        <v>8</v>
      </c>
      <c r="C4">
        <v>8</v>
      </c>
      <c r="D4">
        <v>6</v>
      </c>
      <c r="E4">
        <v>2016</v>
      </c>
      <c r="F4">
        <v>999.99</v>
      </c>
    </row>
    <row r="5" spans="1:6" x14ac:dyDescent="0.35">
      <c r="A5">
        <v>4</v>
      </c>
      <c r="B5" t="s">
        <v>9</v>
      </c>
      <c r="C5">
        <v>9</v>
      </c>
      <c r="D5">
        <v>6</v>
      </c>
      <c r="E5">
        <v>2016</v>
      </c>
      <c r="F5">
        <v>2899.99</v>
      </c>
    </row>
    <row r="6" spans="1:6" x14ac:dyDescent="0.35">
      <c r="A6">
        <v>5</v>
      </c>
      <c r="B6" t="s">
        <v>10</v>
      </c>
      <c r="C6">
        <v>3</v>
      </c>
      <c r="D6">
        <v>6</v>
      </c>
      <c r="E6">
        <v>2016</v>
      </c>
      <c r="F6">
        <v>1320.99</v>
      </c>
    </row>
    <row r="7" spans="1:6" x14ac:dyDescent="0.35">
      <c r="A7">
        <v>6</v>
      </c>
      <c r="B7" t="s">
        <v>11</v>
      </c>
      <c r="C7">
        <v>8</v>
      </c>
      <c r="D7">
        <v>6</v>
      </c>
      <c r="E7">
        <v>2016</v>
      </c>
      <c r="F7">
        <v>469.99</v>
      </c>
    </row>
    <row r="8" spans="1:6" x14ac:dyDescent="0.35">
      <c r="A8">
        <v>7</v>
      </c>
      <c r="B8" t="s">
        <v>12</v>
      </c>
      <c r="C8">
        <v>9</v>
      </c>
      <c r="D8">
        <v>6</v>
      </c>
      <c r="E8">
        <v>2016</v>
      </c>
      <c r="F8">
        <v>3999.99</v>
      </c>
    </row>
    <row r="9" spans="1:6" x14ac:dyDescent="0.35">
      <c r="A9">
        <v>8</v>
      </c>
      <c r="B9" t="s">
        <v>13</v>
      </c>
      <c r="C9">
        <v>9</v>
      </c>
      <c r="D9">
        <v>6</v>
      </c>
      <c r="E9">
        <v>2016</v>
      </c>
      <c r="F9">
        <v>1799.99</v>
      </c>
    </row>
    <row r="10" spans="1:6" x14ac:dyDescent="0.35">
      <c r="A10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</row>
    <row r="11" spans="1:6" x14ac:dyDescent="0.35">
      <c r="A1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</row>
    <row r="12" spans="1:6" x14ac:dyDescent="0.35">
      <c r="A12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</row>
    <row r="13" spans="1:6" x14ac:dyDescent="0.35">
      <c r="A13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</row>
    <row r="14" spans="1:6" x14ac:dyDescent="0.35">
      <c r="A14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</row>
    <row r="15" spans="1:6" x14ac:dyDescent="0.35">
      <c r="A15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</row>
    <row r="16" spans="1:6" x14ac:dyDescent="0.35">
      <c r="A16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</row>
    <row r="17" spans="1:6" x14ac:dyDescent="0.35">
      <c r="A17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</row>
    <row r="18" spans="1:6" x14ac:dyDescent="0.35">
      <c r="A18">
        <v>17</v>
      </c>
      <c r="B18" t="s">
        <v>22</v>
      </c>
      <c r="C18">
        <v>4</v>
      </c>
      <c r="D18">
        <v>3</v>
      </c>
      <c r="E18">
        <v>2016</v>
      </c>
      <c r="F18">
        <v>429</v>
      </c>
    </row>
    <row r="19" spans="1:6" x14ac:dyDescent="0.35">
      <c r="A19">
        <v>18</v>
      </c>
      <c r="B19" t="s">
        <v>23</v>
      </c>
      <c r="C19">
        <v>4</v>
      </c>
      <c r="D19">
        <v>3</v>
      </c>
      <c r="E19">
        <v>2016</v>
      </c>
      <c r="F19">
        <v>449</v>
      </c>
    </row>
    <row r="20" spans="1:6" x14ac:dyDescent="0.35">
      <c r="A20">
        <v>19</v>
      </c>
      <c r="B20" t="s">
        <v>24</v>
      </c>
      <c r="C20">
        <v>4</v>
      </c>
      <c r="D20">
        <v>3</v>
      </c>
      <c r="E20">
        <v>2016</v>
      </c>
      <c r="F20">
        <v>449</v>
      </c>
    </row>
    <row r="21" spans="1:6" x14ac:dyDescent="0.35">
      <c r="A2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</row>
    <row r="22" spans="1:6" x14ac:dyDescent="0.35">
      <c r="A22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</row>
    <row r="23" spans="1:6" x14ac:dyDescent="0.35">
      <c r="A23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</row>
    <row r="24" spans="1:6" x14ac:dyDescent="0.35">
      <c r="A24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</row>
    <row r="25" spans="1:6" x14ac:dyDescent="0.35">
      <c r="A25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</row>
    <row r="26" spans="1:6" x14ac:dyDescent="0.35">
      <c r="A26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</row>
    <row r="27" spans="1:6" x14ac:dyDescent="0.35">
      <c r="A27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</row>
    <row r="28" spans="1:6" x14ac:dyDescent="0.35">
      <c r="A28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</row>
    <row r="29" spans="1:6" x14ac:dyDescent="0.35">
      <c r="A29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</row>
    <row r="30" spans="1:6" x14ac:dyDescent="0.35">
      <c r="A30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</row>
    <row r="31" spans="1:6" x14ac:dyDescent="0.35">
      <c r="A3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</row>
    <row r="32" spans="1:6" x14ac:dyDescent="0.35">
      <c r="A32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</row>
    <row r="33" spans="1:6" x14ac:dyDescent="0.35">
      <c r="A33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</row>
    <row r="34" spans="1:6" x14ac:dyDescent="0.35">
      <c r="A34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</row>
    <row r="35" spans="1:6" x14ac:dyDescent="0.35">
      <c r="A35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</row>
    <row r="36" spans="1:6" x14ac:dyDescent="0.35">
      <c r="A36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</row>
    <row r="37" spans="1:6" x14ac:dyDescent="0.35">
      <c r="A37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</row>
    <row r="38" spans="1:6" x14ac:dyDescent="0.35">
      <c r="A38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</row>
    <row r="39" spans="1:6" x14ac:dyDescent="0.35">
      <c r="A39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</row>
    <row r="40" spans="1:6" x14ac:dyDescent="0.35">
      <c r="A40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</row>
    <row r="41" spans="1:6" x14ac:dyDescent="0.35">
      <c r="A4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</row>
    <row r="42" spans="1:6" x14ac:dyDescent="0.35">
      <c r="A42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</row>
    <row r="43" spans="1:6" x14ac:dyDescent="0.35">
      <c r="A43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</row>
    <row r="44" spans="1:6" x14ac:dyDescent="0.35">
      <c r="A44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</row>
    <row r="45" spans="1:6" x14ac:dyDescent="0.35">
      <c r="A45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</row>
    <row r="46" spans="1:6" x14ac:dyDescent="0.35">
      <c r="A46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</row>
    <row r="47" spans="1:6" x14ac:dyDescent="0.35">
      <c r="A47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</row>
    <row r="48" spans="1:6" x14ac:dyDescent="0.35">
      <c r="A48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</row>
    <row r="49" spans="1:6" x14ac:dyDescent="0.35">
      <c r="A49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</row>
    <row r="50" spans="1:6" x14ac:dyDescent="0.35">
      <c r="A50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</row>
    <row r="51" spans="1:6" x14ac:dyDescent="0.35">
      <c r="A5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</row>
    <row r="52" spans="1:6" x14ac:dyDescent="0.35">
      <c r="A52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</row>
    <row r="53" spans="1:6" x14ac:dyDescent="0.35">
      <c r="A53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</row>
    <row r="54" spans="1:6" x14ac:dyDescent="0.35">
      <c r="A54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</row>
    <row r="55" spans="1:6" x14ac:dyDescent="0.35">
      <c r="A55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</row>
    <row r="56" spans="1:6" x14ac:dyDescent="0.35">
      <c r="A56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</row>
    <row r="57" spans="1:6" x14ac:dyDescent="0.35">
      <c r="A57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</row>
    <row r="58" spans="1:6" x14ac:dyDescent="0.35">
      <c r="A58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</row>
    <row r="59" spans="1:6" x14ac:dyDescent="0.35">
      <c r="A59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</row>
    <row r="60" spans="1:6" x14ac:dyDescent="0.35">
      <c r="A60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</row>
    <row r="61" spans="1:6" x14ac:dyDescent="0.35">
      <c r="A6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</row>
    <row r="62" spans="1:6" x14ac:dyDescent="0.35">
      <c r="A62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</row>
    <row r="63" spans="1:6" x14ac:dyDescent="0.35">
      <c r="A63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</row>
    <row r="64" spans="1:6" x14ac:dyDescent="0.35">
      <c r="A64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</row>
    <row r="65" spans="1:6" x14ac:dyDescent="0.35">
      <c r="A65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</row>
    <row r="66" spans="1:6" x14ac:dyDescent="0.35">
      <c r="A66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</row>
    <row r="67" spans="1:6" x14ac:dyDescent="0.35">
      <c r="A67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</row>
    <row r="68" spans="1:6" x14ac:dyDescent="0.35">
      <c r="A68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</row>
    <row r="69" spans="1:6" x14ac:dyDescent="0.35">
      <c r="A69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</row>
    <row r="70" spans="1:6" x14ac:dyDescent="0.35">
      <c r="A70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</row>
    <row r="71" spans="1:6" x14ac:dyDescent="0.35">
      <c r="A7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</row>
    <row r="72" spans="1:6" x14ac:dyDescent="0.35">
      <c r="A72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</row>
    <row r="73" spans="1:6" x14ac:dyDescent="0.35">
      <c r="A73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</row>
    <row r="74" spans="1:6" x14ac:dyDescent="0.35">
      <c r="A74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</row>
    <row r="75" spans="1:6" x14ac:dyDescent="0.35">
      <c r="A75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</row>
    <row r="76" spans="1:6" x14ac:dyDescent="0.35">
      <c r="A76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</row>
    <row r="77" spans="1:6" x14ac:dyDescent="0.35">
      <c r="A77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</row>
    <row r="78" spans="1:6" x14ac:dyDescent="0.35">
      <c r="A78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</row>
    <row r="79" spans="1:6" x14ac:dyDescent="0.35">
      <c r="A79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</row>
    <row r="80" spans="1:6" x14ac:dyDescent="0.35">
      <c r="A80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</row>
    <row r="81" spans="1:6" x14ac:dyDescent="0.35">
      <c r="A8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</row>
    <row r="82" spans="1:6" x14ac:dyDescent="0.35">
      <c r="A82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</row>
    <row r="83" spans="1:6" x14ac:dyDescent="0.35">
      <c r="A83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</row>
    <row r="84" spans="1:6" x14ac:dyDescent="0.35">
      <c r="A84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</row>
    <row r="85" spans="1:6" x14ac:dyDescent="0.35">
      <c r="A85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</row>
    <row r="86" spans="1:6" x14ac:dyDescent="0.35">
      <c r="A86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</row>
    <row r="87" spans="1:6" x14ac:dyDescent="0.35">
      <c r="A87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</row>
    <row r="88" spans="1:6" x14ac:dyDescent="0.35">
      <c r="A88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</row>
    <row r="89" spans="1:6" x14ac:dyDescent="0.35">
      <c r="A89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</row>
    <row r="90" spans="1:6" x14ac:dyDescent="0.35">
      <c r="A90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</row>
    <row r="91" spans="1:6" x14ac:dyDescent="0.35">
      <c r="A9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</row>
    <row r="92" spans="1:6" x14ac:dyDescent="0.35">
      <c r="A92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</row>
    <row r="93" spans="1:6" x14ac:dyDescent="0.35">
      <c r="A93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</row>
    <row r="94" spans="1:6" x14ac:dyDescent="0.35">
      <c r="A94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</row>
    <row r="95" spans="1:6" x14ac:dyDescent="0.35">
      <c r="A95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</row>
    <row r="96" spans="1:6" x14ac:dyDescent="0.35">
      <c r="A96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</row>
    <row r="97" spans="1:6" x14ac:dyDescent="0.35">
      <c r="A97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</row>
    <row r="98" spans="1:6" x14ac:dyDescent="0.35">
      <c r="A98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</row>
    <row r="99" spans="1:6" x14ac:dyDescent="0.35">
      <c r="A99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</row>
    <row r="100" spans="1:6" x14ac:dyDescent="0.35">
      <c r="A100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</row>
    <row r="101" spans="1:6" x14ac:dyDescent="0.35">
      <c r="A10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</row>
    <row r="102" spans="1:6" x14ac:dyDescent="0.35">
      <c r="A102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</row>
    <row r="103" spans="1:6" x14ac:dyDescent="0.35">
      <c r="A103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</row>
    <row r="104" spans="1:6" x14ac:dyDescent="0.35">
      <c r="A104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</row>
    <row r="105" spans="1:6" x14ac:dyDescent="0.35">
      <c r="A105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</row>
    <row r="106" spans="1:6" x14ac:dyDescent="0.35">
      <c r="A106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</row>
    <row r="107" spans="1:6" x14ac:dyDescent="0.35">
      <c r="A107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</row>
    <row r="108" spans="1:6" x14ac:dyDescent="0.35">
      <c r="A108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</row>
    <row r="109" spans="1:6" x14ac:dyDescent="0.35">
      <c r="A109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</row>
    <row r="110" spans="1:6" x14ac:dyDescent="0.35">
      <c r="A110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</row>
    <row r="111" spans="1:6" x14ac:dyDescent="0.35">
      <c r="A11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</row>
    <row r="112" spans="1:6" x14ac:dyDescent="0.35">
      <c r="A112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</row>
    <row r="113" spans="1:6" x14ac:dyDescent="0.35">
      <c r="A113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</row>
    <row r="114" spans="1:6" x14ac:dyDescent="0.35">
      <c r="A114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</row>
    <row r="115" spans="1:6" x14ac:dyDescent="0.35">
      <c r="A115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</row>
    <row r="116" spans="1:6" x14ac:dyDescent="0.35">
      <c r="A116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</row>
    <row r="117" spans="1:6" x14ac:dyDescent="0.35">
      <c r="A117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</row>
    <row r="118" spans="1:6" x14ac:dyDescent="0.35">
      <c r="A118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</row>
    <row r="119" spans="1:6" x14ac:dyDescent="0.35">
      <c r="A119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</row>
    <row r="120" spans="1:6" x14ac:dyDescent="0.35">
      <c r="A120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</row>
    <row r="121" spans="1:6" x14ac:dyDescent="0.35">
      <c r="A12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5">
      <c r="A122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5">
      <c r="A123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5">
      <c r="A124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</row>
    <row r="125" spans="1:6" x14ac:dyDescent="0.35">
      <c r="A125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</row>
    <row r="126" spans="1:6" x14ac:dyDescent="0.35">
      <c r="A126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</row>
    <row r="127" spans="1:6" x14ac:dyDescent="0.35">
      <c r="A127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</row>
    <row r="128" spans="1:6" x14ac:dyDescent="0.35">
      <c r="A128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</row>
    <row r="129" spans="1:6" x14ac:dyDescent="0.35">
      <c r="A129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</row>
    <row r="130" spans="1:6" x14ac:dyDescent="0.35">
      <c r="A130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</row>
    <row r="131" spans="1:6" x14ac:dyDescent="0.35">
      <c r="A13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</row>
    <row r="132" spans="1:6" x14ac:dyDescent="0.35">
      <c r="A132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</row>
    <row r="133" spans="1:6" x14ac:dyDescent="0.35">
      <c r="A133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</row>
    <row r="134" spans="1:6" x14ac:dyDescent="0.35">
      <c r="A134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</row>
    <row r="135" spans="1:6" x14ac:dyDescent="0.35">
      <c r="A135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</row>
    <row r="136" spans="1:6" x14ac:dyDescent="0.35">
      <c r="A136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</row>
    <row r="137" spans="1:6" x14ac:dyDescent="0.35">
      <c r="A137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</row>
    <row r="138" spans="1:6" x14ac:dyDescent="0.35">
      <c r="A138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</row>
    <row r="139" spans="1:6" x14ac:dyDescent="0.35">
      <c r="A139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5">
      <c r="A140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</row>
    <row r="141" spans="1:6" x14ac:dyDescent="0.35">
      <c r="A14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</row>
    <row r="142" spans="1:6" x14ac:dyDescent="0.35">
      <c r="A142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</row>
    <row r="143" spans="1:6" x14ac:dyDescent="0.35">
      <c r="A143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</row>
    <row r="144" spans="1:6" x14ac:dyDescent="0.35">
      <c r="A144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</row>
    <row r="145" spans="1:6" x14ac:dyDescent="0.35">
      <c r="A145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</row>
    <row r="146" spans="1:6" x14ac:dyDescent="0.35">
      <c r="A146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</row>
    <row r="147" spans="1:6" x14ac:dyDescent="0.35">
      <c r="A147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</row>
    <row r="148" spans="1:6" x14ac:dyDescent="0.35">
      <c r="A148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</row>
    <row r="149" spans="1:6" x14ac:dyDescent="0.35">
      <c r="A149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</row>
    <row r="150" spans="1:6" x14ac:dyDescent="0.35">
      <c r="A150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</row>
    <row r="151" spans="1:6" x14ac:dyDescent="0.35">
      <c r="A15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</row>
    <row r="152" spans="1:6" x14ac:dyDescent="0.35">
      <c r="A152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</row>
    <row r="153" spans="1:6" x14ac:dyDescent="0.35">
      <c r="A153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5">
      <c r="A154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</row>
    <row r="155" spans="1:6" x14ac:dyDescent="0.35">
      <c r="A155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</row>
    <row r="156" spans="1:6" x14ac:dyDescent="0.35">
      <c r="A156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</row>
    <row r="157" spans="1:6" x14ac:dyDescent="0.35">
      <c r="A157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</row>
    <row r="158" spans="1:6" x14ac:dyDescent="0.35">
      <c r="A158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</row>
    <row r="159" spans="1:6" x14ac:dyDescent="0.35">
      <c r="A159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</row>
    <row r="160" spans="1:6" x14ac:dyDescent="0.35">
      <c r="A160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5">
      <c r="A16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</row>
    <row r="162" spans="1:6" x14ac:dyDescent="0.35">
      <c r="A162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</row>
    <row r="163" spans="1:6" x14ac:dyDescent="0.35">
      <c r="A163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</row>
    <row r="164" spans="1:6" x14ac:dyDescent="0.35">
      <c r="A164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</row>
    <row r="165" spans="1:6" x14ac:dyDescent="0.35">
      <c r="A165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</row>
    <row r="166" spans="1:6" x14ac:dyDescent="0.35">
      <c r="A166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5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</row>
    <row r="168" spans="1:6" x14ac:dyDescent="0.35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</row>
    <row r="169" spans="1:6" x14ac:dyDescent="0.35">
      <c r="A169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</row>
    <row r="170" spans="1:6" x14ac:dyDescent="0.35">
      <c r="A170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</row>
    <row r="171" spans="1:6" x14ac:dyDescent="0.35">
      <c r="A17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</row>
    <row r="172" spans="1:6" x14ac:dyDescent="0.35">
      <c r="A172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</row>
    <row r="173" spans="1:6" x14ac:dyDescent="0.35">
      <c r="A173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</row>
    <row r="174" spans="1:6" x14ac:dyDescent="0.35">
      <c r="A174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</row>
    <row r="175" spans="1:6" x14ac:dyDescent="0.35">
      <c r="A175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</row>
    <row r="176" spans="1:6" x14ac:dyDescent="0.35">
      <c r="A176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</row>
    <row r="177" spans="1:6" x14ac:dyDescent="0.35">
      <c r="A177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</row>
    <row r="178" spans="1:6" x14ac:dyDescent="0.35">
      <c r="A178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</row>
    <row r="179" spans="1:6" x14ac:dyDescent="0.35">
      <c r="A179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</row>
    <row r="180" spans="1:6" x14ac:dyDescent="0.35">
      <c r="A180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</row>
    <row r="181" spans="1:6" x14ac:dyDescent="0.35">
      <c r="A18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</row>
    <row r="182" spans="1:6" x14ac:dyDescent="0.35">
      <c r="A182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5">
      <c r="A183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5">
      <c r="A184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5">
      <c r="A185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</row>
    <row r="186" spans="1:6" x14ac:dyDescent="0.35">
      <c r="A186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</row>
    <row r="187" spans="1:6" x14ac:dyDescent="0.35">
      <c r="A187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</row>
    <row r="188" spans="1:6" x14ac:dyDescent="0.35">
      <c r="A188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</row>
    <row r="189" spans="1:6" x14ac:dyDescent="0.35">
      <c r="A189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</row>
    <row r="190" spans="1:6" x14ac:dyDescent="0.35">
      <c r="A190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</row>
    <row r="191" spans="1:6" x14ac:dyDescent="0.35">
      <c r="A19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</row>
    <row r="192" spans="1:6" x14ac:dyDescent="0.35">
      <c r="A192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</row>
    <row r="193" spans="1:6" x14ac:dyDescent="0.35">
      <c r="A193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5">
      <c r="A194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</row>
    <row r="195" spans="1:6" x14ac:dyDescent="0.35">
      <c r="A195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</row>
    <row r="196" spans="1:6" x14ac:dyDescent="0.35">
      <c r="A196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5">
      <c r="A197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5">
      <c r="A198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5">
      <c r="A199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</row>
    <row r="200" spans="1:6" x14ac:dyDescent="0.35">
      <c r="A200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</row>
    <row r="201" spans="1:6" x14ac:dyDescent="0.35">
      <c r="A20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</row>
    <row r="202" spans="1:6" x14ac:dyDescent="0.35">
      <c r="A202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</row>
    <row r="203" spans="1:6" x14ac:dyDescent="0.35">
      <c r="A203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</row>
    <row r="204" spans="1:6" x14ac:dyDescent="0.35">
      <c r="A204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</row>
    <row r="205" spans="1:6" x14ac:dyDescent="0.35">
      <c r="A205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</row>
    <row r="206" spans="1:6" x14ac:dyDescent="0.35">
      <c r="A206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</row>
    <row r="207" spans="1:6" x14ac:dyDescent="0.35">
      <c r="A207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</row>
    <row r="208" spans="1:6" x14ac:dyDescent="0.35">
      <c r="A208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</row>
    <row r="209" spans="1:6" x14ac:dyDescent="0.35">
      <c r="A209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</row>
    <row r="210" spans="1:6" x14ac:dyDescent="0.35">
      <c r="A210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</row>
    <row r="211" spans="1:6" x14ac:dyDescent="0.35">
      <c r="A21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</row>
    <row r="212" spans="1:6" x14ac:dyDescent="0.35">
      <c r="A212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</row>
    <row r="213" spans="1:6" x14ac:dyDescent="0.35">
      <c r="A213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</row>
    <row r="214" spans="1:6" x14ac:dyDescent="0.35">
      <c r="A214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</row>
    <row r="215" spans="1:6" x14ac:dyDescent="0.35">
      <c r="A215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</row>
    <row r="216" spans="1:6" x14ac:dyDescent="0.35">
      <c r="A216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</row>
    <row r="217" spans="1:6" x14ac:dyDescent="0.35">
      <c r="A217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</row>
    <row r="218" spans="1:6" x14ac:dyDescent="0.35">
      <c r="A218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</row>
    <row r="219" spans="1:6" x14ac:dyDescent="0.35">
      <c r="A219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</row>
    <row r="220" spans="1:6" x14ac:dyDescent="0.35">
      <c r="A220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</row>
    <row r="221" spans="1:6" x14ac:dyDescent="0.35">
      <c r="A22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</row>
    <row r="222" spans="1:6" x14ac:dyDescent="0.35">
      <c r="A222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</row>
    <row r="223" spans="1:6" x14ac:dyDescent="0.35">
      <c r="A223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</row>
    <row r="224" spans="1:6" x14ac:dyDescent="0.35">
      <c r="A224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</row>
    <row r="225" spans="1:6" x14ac:dyDescent="0.35">
      <c r="A225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</row>
    <row r="226" spans="1:6" x14ac:dyDescent="0.35">
      <c r="A226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</row>
    <row r="227" spans="1:6" x14ac:dyDescent="0.35">
      <c r="A227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</row>
    <row r="228" spans="1:6" x14ac:dyDescent="0.35">
      <c r="A228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</row>
    <row r="229" spans="1:6" x14ac:dyDescent="0.35">
      <c r="A229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</row>
    <row r="230" spans="1:6" x14ac:dyDescent="0.35">
      <c r="A230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</row>
    <row r="231" spans="1:6" x14ac:dyDescent="0.35">
      <c r="A23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</row>
    <row r="232" spans="1:6" x14ac:dyDescent="0.35">
      <c r="A232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</row>
    <row r="233" spans="1:6" x14ac:dyDescent="0.35">
      <c r="A233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</row>
    <row r="234" spans="1:6" x14ac:dyDescent="0.35">
      <c r="A234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</row>
    <row r="235" spans="1:6" x14ac:dyDescent="0.35">
      <c r="A235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</row>
    <row r="236" spans="1:6" x14ac:dyDescent="0.35">
      <c r="A236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</row>
    <row r="237" spans="1:6" x14ac:dyDescent="0.35">
      <c r="A237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</row>
    <row r="238" spans="1:6" x14ac:dyDescent="0.35">
      <c r="A238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</row>
    <row r="239" spans="1:6" x14ac:dyDescent="0.35">
      <c r="A239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</row>
    <row r="240" spans="1:6" x14ac:dyDescent="0.35">
      <c r="A240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</row>
    <row r="241" spans="1:6" x14ac:dyDescent="0.35">
      <c r="A24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</row>
    <row r="242" spans="1:6" x14ac:dyDescent="0.35">
      <c r="A242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</row>
    <row r="243" spans="1:6" x14ac:dyDescent="0.35">
      <c r="A243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</row>
    <row r="244" spans="1:6" x14ac:dyDescent="0.35">
      <c r="A244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</row>
    <row r="245" spans="1:6" x14ac:dyDescent="0.35">
      <c r="A245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</row>
    <row r="246" spans="1:6" x14ac:dyDescent="0.35">
      <c r="A246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</row>
    <row r="247" spans="1:6" x14ac:dyDescent="0.35">
      <c r="A247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</row>
    <row r="248" spans="1:6" x14ac:dyDescent="0.35">
      <c r="A248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</row>
    <row r="249" spans="1:6" x14ac:dyDescent="0.35">
      <c r="A249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</row>
    <row r="250" spans="1:6" x14ac:dyDescent="0.35">
      <c r="A250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</row>
    <row r="251" spans="1:6" x14ac:dyDescent="0.35">
      <c r="A25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5">
      <c r="A252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</row>
    <row r="253" spans="1:6" x14ac:dyDescent="0.35">
      <c r="A253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</row>
    <row r="254" spans="1:6" x14ac:dyDescent="0.35">
      <c r="A254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5">
      <c r="A255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</row>
    <row r="256" spans="1:6" x14ac:dyDescent="0.35">
      <c r="A256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</row>
    <row r="257" spans="1:6" x14ac:dyDescent="0.35">
      <c r="A257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</row>
    <row r="258" spans="1:6" x14ac:dyDescent="0.35">
      <c r="A258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</row>
    <row r="259" spans="1:6" x14ac:dyDescent="0.35">
      <c r="A259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5">
      <c r="A260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</row>
    <row r="261" spans="1:6" x14ac:dyDescent="0.35">
      <c r="A26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</row>
    <row r="262" spans="1:6" x14ac:dyDescent="0.35">
      <c r="A262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</row>
    <row r="263" spans="1:6" x14ac:dyDescent="0.35">
      <c r="A263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</row>
    <row r="264" spans="1:6" x14ac:dyDescent="0.35">
      <c r="A264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</row>
    <row r="265" spans="1:6" x14ac:dyDescent="0.35">
      <c r="A265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</row>
    <row r="266" spans="1:6" x14ac:dyDescent="0.35">
      <c r="A266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</row>
    <row r="267" spans="1:6" x14ac:dyDescent="0.35">
      <c r="A267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</row>
    <row r="268" spans="1:6" x14ac:dyDescent="0.35">
      <c r="A268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</row>
    <row r="269" spans="1:6" x14ac:dyDescent="0.35">
      <c r="A269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</row>
    <row r="270" spans="1:6" x14ac:dyDescent="0.35">
      <c r="A270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</row>
    <row r="271" spans="1:6" x14ac:dyDescent="0.35">
      <c r="A27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</row>
    <row r="272" spans="1:6" x14ac:dyDescent="0.35">
      <c r="A272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</row>
    <row r="273" spans="1:6" x14ac:dyDescent="0.35">
      <c r="A273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</row>
    <row r="274" spans="1:6" x14ac:dyDescent="0.35">
      <c r="A274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</row>
    <row r="275" spans="1:6" x14ac:dyDescent="0.35">
      <c r="A275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</row>
    <row r="276" spans="1:6" x14ac:dyDescent="0.35">
      <c r="A276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</row>
    <row r="277" spans="1:6" x14ac:dyDescent="0.35">
      <c r="A277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</row>
    <row r="278" spans="1:6" x14ac:dyDescent="0.35">
      <c r="A278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</row>
    <row r="279" spans="1:6" x14ac:dyDescent="0.35">
      <c r="A279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</row>
    <row r="280" spans="1:6" x14ac:dyDescent="0.35">
      <c r="A280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</row>
    <row r="281" spans="1:6" x14ac:dyDescent="0.35">
      <c r="A28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</row>
    <row r="282" spans="1:6" x14ac:dyDescent="0.35">
      <c r="A282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</row>
    <row r="283" spans="1:6" x14ac:dyDescent="0.35">
      <c r="A283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</row>
    <row r="284" spans="1:6" x14ac:dyDescent="0.35">
      <c r="A284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</row>
    <row r="285" spans="1:6" x14ac:dyDescent="0.35">
      <c r="A285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</row>
    <row r="286" spans="1:6" x14ac:dyDescent="0.35">
      <c r="A286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</row>
    <row r="287" spans="1:6" x14ac:dyDescent="0.35">
      <c r="A287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</row>
    <row r="288" spans="1:6" x14ac:dyDescent="0.35">
      <c r="A288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</row>
    <row r="289" spans="1:6" x14ac:dyDescent="0.35">
      <c r="A289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</row>
    <row r="290" spans="1:6" x14ac:dyDescent="0.35">
      <c r="A290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</row>
    <row r="291" spans="1:6" x14ac:dyDescent="0.35">
      <c r="A29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</row>
    <row r="292" spans="1:6" x14ac:dyDescent="0.35">
      <c r="A292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</row>
    <row r="293" spans="1:6" x14ac:dyDescent="0.35">
      <c r="A293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</row>
    <row r="294" spans="1:6" x14ac:dyDescent="0.35">
      <c r="A294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</row>
    <row r="295" spans="1:6" x14ac:dyDescent="0.35">
      <c r="A295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</row>
    <row r="296" spans="1:6" x14ac:dyDescent="0.35">
      <c r="A296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</row>
    <row r="297" spans="1:6" x14ac:dyDescent="0.35">
      <c r="A297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</row>
    <row r="298" spans="1:6" x14ac:dyDescent="0.35">
      <c r="A298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</row>
    <row r="299" spans="1:6" x14ac:dyDescent="0.35">
      <c r="A299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</row>
    <row r="300" spans="1:6" x14ac:dyDescent="0.35">
      <c r="A300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</row>
    <row r="301" spans="1:6" x14ac:dyDescent="0.35">
      <c r="A30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</row>
    <row r="302" spans="1:6" x14ac:dyDescent="0.35">
      <c r="A302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</row>
    <row r="303" spans="1:6" x14ac:dyDescent="0.35">
      <c r="A303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</row>
    <row r="304" spans="1:6" x14ac:dyDescent="0.35">
      <c r="A304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5">
      <c r="A305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</row>
    <row r="306" spans="1:6" x14ac:dyDescent="0.35">
      <c r="A306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</row>
    <row r="307" spans="1:6" x14ac:dyDescent="0.35">
      <c r="A307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</row>
    <row r="308" spans="1:6" x14ac:dyDescent="0.35">
      <c r="A308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</row>
    <row r="309" spans="1:6" x14ac:dyDescent="0.35">
      <c r="A309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</row>
    <row r="310" spans="1:6" x14ac:dyDescent="0.35">
      <c r="A310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</row>
    <row r="311" spans="1:6" x14ac:dyDescent="0.35">
      <c r="A31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</row>
    <row r="312" spans="1:6" x14ac:dyDescent="0.35">
      <c r="A312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</row>
    <row r="313" spans="1:6" x14ac:dyDescent="0.35">
      <c r="A313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</row>
    <row r="314" spans="1:6" x14ac:dyDescent="0.35">
      <c r="A314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</row>
    <row r="315" spans="1:6" x14ac:dyDescent="0.35">
      <c r="A315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</row>
    <row r="316" spans="1:6" x14ac:dyDescent="0.35">
      <c r="A316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</row>
    <row r="317" spans="1:6" x14ac:dyDescent="0.35">
      <c r="A317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</row>
    <row r="318" spans="1:6" x14ac:dyDescent="0.35">
      <c r="A318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</row>
    <row r="319" spans="1:6" x14ac:dyDescent="0.35">
      <c r="A319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</row>
    <row r="320" spans="1:6" x14ac:dyDescent="0.35">
      <c r="A320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</row>
    <row r="321" spans="1:6" x14ac:dyDescent="0.35">
      <c r="A32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</row>
    <row r="322" spans="1:6" x14ac:dyDescent="0.35">
      <c r="A322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Cleaning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2025-10-24T18:42:47Z</dcterms:created>
  <dcterms:modified xsi:type="dcterms:W3CDTF">2025-10-24T19:01:18Z</dcterms:modified>
</cp:coreProperties>
</file>